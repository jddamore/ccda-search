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nDAmore\Source\ccda-search\"/>
    </mc:Choice>
  </mc:AlternateContent>
  <xr:revisionPtr revIDLastSave="0" documentId="13_ncr:1_{2A0C9B49-74A7-472D-8848-24801F44F4C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templates" sheetId="2" r:id="rId1"/>
    <sheet name="example" sheetId="1" r:id="rId2"/>
    <sheet name="New Gu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9" i="3" l="1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49" i="3"/>
  <c r="G248" i="3"/>
  <c r="G247" i="3"/>
  <c r="G246" i="3"/>
  <c r="G241" i="3"/>
  <c r="G240" i="3"/>
  <c r="G239" i="3"/>
  <c r="G238" i="3"/>
  <c r="G237" i="3"/>
  <c r="G236" i="3"/>
  <c r="G235" i="3"/>
  <c r="G234" i="3"/>
  <c r="G233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F249" i="3"/>
  <c r="F248" i="3"/>
  <c r="F247" i="3"/>
  <c r="F246" i="3"/>
  <c r="F241" i="3"/>
  <c r="F240" i="3"/>
  <c r="F239" i="3"/>
  <c r="F238" i="3"/>
  <c r="F237" i="3"/>
  <c r="F236" i="3"/>
  <c r="F235" i="3"/>
  <c r="F234" i="3"/>
  <c r="F233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586" i="1" l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586" i="1"/>
  <c r="E586" i="1" s="1"/>
  <c r="C586" i="1"/>
  <c r="D585" i="1"/>
  <c r="E585" i="1" s="1"/>
  <c r="C585" i="1"/>
  <c r="D584" i="1"/>
  <c r="E584" i="1" s="1"/>
  <c r="C584" i="1"/>
  <c r="D583" i="1"/>
  <c r="E583" i="1" s="1"/>
  <c r="C583" i="1"/>
  <c r="D582" i="1"/>
  <c r="E582" i="1" s="1"/>
  <c r="C582" i="1"/>
  <c r="D581" i="1"/>
  <c r="E581" i="1" s="1"/>
  <c r="C581" i="1"/>
  <c r="D580" i="1"/>
  <c r="E580" i="1" s="1"/>
  <c r="C580" i="1"/>
  <c r="D579" i="1"/>
  <c r="E579" i="1" s="1"/>
  <c r="C579" i="1"/>
  <c r="D578" i="1"/>
  <c r="E578" i="1" s="1"/>
  <c r="C578" i="1"/>
  <c r="D577" i="1"/>
  <c r="E577" i="1" s="1"/>
  <c r="C577" i="1"/>
  <c r="D576" i="1"/>
  <c r="E576" i="1" s="1"/>
  <c r="C576" i="1"/>
  <c r="D575" i="1"/>
  <c r="E575" i="1" s="1"/>
  <c r="C575" i="1"/>
  <c r="D574" i="1"/>
  <c r="E574" i="1" s="1"/>
  <c r="C574" i="1"/>
  <c r="D573" i="1"/>
  <c r="E573" i="1" s="1"/>
  <c r="C573" i="1"/>
  <c r="D572" i="1"/>
  <c r="E572" i="1" s="1"/>
  <c r="C572" i="1"/>
  <c r="D571" i="1"/>
  <c r="E571" i="1" s="1"/>
  <c r="C571" i="1"/>
  <c r="D570" i="1"/>
  <c r="E570" i="1" s="1"/>
  <c r="C570" i="1"/>
  <c r="D569" i="1"/>
  <c r="E569" i="1" s="1"/>
  <c r="C569" i="1"/>
  <c r="D568" i="1"/>
  <c r="E568" i="1" s="1"/>
  <c r="C568" i="1"/>
  <c r="D567" i="1"/>
  <c r="E567" i="1" s="1"/>
  <c r="C567" i="1"/>
  <c r="D566" i="1"/>
  <c r="E566" i="1" s="1"/>
  <c r="C566" i="1"/>
  <c r="D565" i="1"/>
  <c r="E565" i="1" s="1"/>
  <c r="C565" i="1"/>
  <c r="D564" i="1"/>
  <c r="E564" i="1" s="1"/>
  <c r="C564" i="1"/>
  <c r="D563" i="1"/>
  <c r="E563" i="1" s="1"/>
  <c r="C563" i="1"/>
  <c r="D562" i="1"/>
  <c r="E562" i="1" s="1"/>
  <c r="C562" i="1"/>
  <c r="D561" i="1"/>
  <c r="E561" i="1" s="1"/>
  <c r="C561" i="1"/>
  <c r="D560" i="1"/>
  <c r="E560" i="1" s="1"/>
  <c r="C560" i="1"/>
  <c r="D559" i="1"/>
  <c r="E559" i="1" s="1"/>
  <c r="C559" i="1"/>
  <c r="D558" i="1"/>
  <c r="E558" i="1" s="1"/>
  <c r="C558" i="1"/>
  <c r="D557" i="1"/>
  <c r="E557" i="1" s="1"/>
  <c r="C557" i="1"/>
  <c r="D556" i="1"/>
  <c r="E556" i="1" s="1"/>
  <c r="C556" i="1"/>
  <c r="D555" i="1"/>
  <c r="E555" i="1" s="1"/>
  <c r="C555" i="1"/>
  <c r="D554" i="1"/>
  <c r="E554" i="1" s="1"/>
  <c r="C554" i="1"/>
  <c r="D553" i="1"/>
  <c r="E553" i="1" s="1"/>
  <c r="C553" i="1"/>
  <c r="D552" i="1"/>
  <c r="E552" i="1" s="1"/>
  <c r="C552" i="1"/>
  <c r="D551" i="1"/>
  <c r="E551" i="1" s="1"/>
  <c r="C551" i="1"/>
  <c r="D550" i="1"/>
  <c r="E550" i="1" s="1"/>
  <c r="C550" i="1"/>
  <c r="D549" i="1"/>
  <c r="E549" i="1" s="1"/>
  <c r="C549" i="1"/>
  <c r="D548" i="1"/>
  <c r="E548" i="1" s="1"/>
  <c r="C548" i="1"/>
  <c r="D547" i="1"/>
  <c r="E547" i="1" s="1"/>
  <c r="C547" i="1"/>
  <c r="D546" i="1"/>
  <c r="E546" i="1" s="1"/>
  <c r="C546" i="1"/>
  <c r="D545" i="1"/>
  <c r="E545" i="1" s="1"/>
  <c r="C545" i="1"/>
  <c r="D544" i="1"/>
  <c r="E544" i="1" s="1"/>
  <c r="C544" i="1"/>
  <c r="D543" i="1"/>
  <c r="E543" i="1" s="1"/>
  <c r="C543" i="1"/>
  <c r="D542" i="1"/>
  <c r="E542" i="1" s="1"/>
  <c r="C542" i="1"/>
  <c r="D541" i="1"/>
  <c r="E541" i="1" s="1"/>
  <c r="C541" i="1"/>
  <c r="D540" i="1"/>
  <c r="E540" i="1" s="1"/>
  <c r="C540" i="1"/>
  <c r="D539" i="1"/>
  <c r="E539" i="1" s="1"/>
  <c r="C539" i="1"/>
  <c r="D538" i="1"/>
  <c r="E538" i="1" s="1"/>
  <c r="C538" i="1"/>
  <c r="D537" i="1"/>
  <c r="E537" i="1" s="1"/>
  <c r="C537" i="1"/>
  <c r="D536" i="1"/>
  <c r="E536" i="1" s="1"/>
  <c r="C536" i="1"/>
  <c r="D535" i="1"/>
  <c r="E535" i="1" s="1"/>
  <c r="C535" i="1"/>
  <c r="D534" i="1"/>
  <c r="E534" i="1" s="1"/>
  <c r="C534" i="1"/>
  <c r="D533" i="1"/>
  <c r="E533" i="1" s="1"/>
  <c r="C533" i="1"/>
  <c r="D532" i="1"/>
  <c r="E532" i="1" s="1"/>
  <c r="C532" i="1"/>
  <c r="D531" i="1"/>
  <c r="E531" i="1" s="1"/>
  <c r="C531" i="1"/>
  <c r="D530" i="1"/>
  <c r="E530" i="1" s="1"/>
  <c r="C530" i="1"/>
  <c r="D529" i="1"/>
  <c r="E529" i="1" s="1"/>
  <c r="C529" i="1"/>
  <c r="D528" i="1"/>
  <c r="E528" i="1" s="1"/>
  <c r="C528" i="1"/>
  <c r="D527" i="1"/>
  <c r="E527" i="1" s="1"/>
  <c r="C527" i="1"/>
  <c r="D526" i="1"/>
  <c r="E526" i="1" s="1"/>
  <c r="C526" i="1"/>
  <c r="D525" i="1"/>
  <c r="E525" i="1" s="1"/>
  <c r="C525" i="1"/>
  <c r="D524" i="1"/>
  <c r="E524" i="1" s="1"/>
  <c r="C524" i="1"/>
  <c r="D523" i="1"/>
  <c r="E523" i="1" s="1"/>
  <c r="C523" i="1"/>
  <c r="D522" i="1"/>
  <c r="E522" i="1" s="1"/>
  <c r="C522" i="1"/>
  <c r="D521" i="1"/>
  <c r="E521" i="1" s="1"/>
  <c r="C521" i="1"/>
  <c r="D520" i="1"/>
  <c r="E520" i="1" s="1"/>
  <c r="C520" i="1"/>
  <c r="D519" i="1"/>
  <c r="E519" i="1" s="1"/>
  <c r="C519" i="1"/>
  <c r="D518" i="1"/>
  <c r="E518" i="1" s="1"/>
  <c r="C518" i="1"/>
  <c r="D517" i="1"/>
  <c r="E517" i="1" s="1"/>
  <c r="C517" i="1"/>
  <c r="D516" i="1"/>
  <c r="E516" i="1" s="1"/>
  <c r="C516" i="1"/>
  <c r="D515" i="1"/>
  <c r="E515" i="1" s="1"/>
  <c r="C515" i="1"/>
  <c r="D514" i="1"/>
  <c r="E514" i="1" s="1"/>
  <c r="C514" i="1"/>
  <c r="D513" i="1"/>
  <c r="E513" i="1" s="1"/>
  <c r="C513" i="1"/>
  <c r="D512" i="1"/>
  <c r="E512" i="1" s="1"/>
  <c r="C512" i="1"/>
  <c r="D511" i="1"/>
  <c r="E511" i="1" s="1"/>
  <c r="C511" i="1"/>
  <c r="D510" i="1"/>
  <c r="E510" i="1" s="1"/>
  <c r="C510" i="1"/>
  <c r="D509" i="1"/>
  <c r="E509" i="1" s="1"/>
  <c r="C509" i="1"/>
  <c r="D508" i="1"/>
  <c r="E508" i="1" s="1"/>
  <c r="C508" i="1"/>
  <c r="D507" i="1"/>
  <c r="E507" i="1" s="1"/>
  <c r="C507" i="1"/>
  <c r="D506" i="1"/>
  <c r="E506" i="1" s="1"/>
  <c r="C506" i="1"/>
  <c r="D505" i="1"/>
  <c r="E505" i="1" s="1"/>
  <c r="C505" i="1"/>
  <c r="D504" i="1"/>
  <c r="E504" i="1" s="1"/>
  <c r="C504" i="1"/>
  <c r="D503" i="1"/>
  <c r="E503" i="1" s="1"/>
  <c r="C503" i="1"/>
  <c r="D502" i="1"/>
  <c r="E502" i="1" s="1"/>
  <c r="C502" i="1"/>
  <c r="D501" i="1"/>
  <c r="E501" i="1" s="1"/>
  <c r="C501" i="1"/>
  <c r="D500" i="1"/>
  <c r="E500" i="1" s="1"/>
  <c r="C500" i="1"/>
  <c r="D499" i="1"/>
  <c r="E499" i="1" s="1"/>
  <c r="C499" i="1"/>
  <c r="D498" i="1"/>
  <c r="E498" i="1" s="1"/>
  <c r="C498" i="1"/>
  <c r="D497" i="1"/>
  <c r="E497" i="1" s="1"/>
  <c r="C497" i="1"/>
  <c r="D496" i="1"/>
  <c r="E496" i="1" s="1"/>
  <c r="C496" i="1"/>
  <c r="D495" i="1"/>
  <c r="E495" i="1" s="1"/>
  <c r="C495" i="1"/>
  <c r="D494" i="1"/>
  <c r="E494" i="1" s="1"/>
  <c r="C494" i="1"/>
  <c r="D493" i="1"/>
  <c r="E493" i="1" s="1"/>
  <c r="C493" i="1"/>
  <c r="D492" i="1"/>
  <c r="E492" i="1" s="1"/>
  <c r="C492" i="1"/>
  <c r="D491" i="1"/>
  <c r="E491" i="1" s="1"/>
  <c r="C491" i="1"/>
  <c r="D490" i="1"/>
  <c r="E490" i="1" s="1"/>
  <c r="C490" i="1"/>
  <c r="D489" i="1"/>
  <c r="E489" i="1" s="1"/>
  <c r="C489" i="1"/>
  <c r="D488" i="1"/>
  <c r="E488" i="1" s="1"/>
  <c r="C488" i="1"/>
  <c r="D487" i="1"/>
  <c r="E487" i="1" s="1"/>
  <c r="C487" i="1"/>
  <c r="D486" i="1"/>
  <c r="E486" i="1" s="1"/>
  <c r="C486" i="1"/>
  <c r="D485" i="1"/>
  <c r="E485" i="1" s="1"/>
  <c r="C485" i="1"/>
  <c r="D484" i="1"/>
  <c r="E484" i="1" s="1"/>
  <c r="C484" i="1"/>
  <c r="D483" i="1"/>
  <c r="E483" i="1" s="1"/>
  <c r="C483" i="1"/>
  <c r="D482" i="1"/>
  <c r="E482" i="1" s="1"/>
  <c r="C482" i="1"/>
  <c r="D481" i="1"/>
  <c r="E481" i="1" s="1"/>
  <c r="C481" i="1"/>
  <c r="D480" i="1"/>
  <c r="E480" i="1" s="1"/>
  <c r="C480" i="1"/>
  <c r="D479" i="1"/>
  <c r="E479" i="1" s="1"/>
  <c r="C479" i="1"/>
  <c r="D478" i="1"/>
  <c r="E478" i="1" s="1"/>
  <c r="C478" i="1"/>
  <c r="D477" i="1"/>
  <c r="E477" i="1" s="1"/>
  <c r="C477" i="1"/>
  <c r="D476" i="1"/>
  <c r="E476" i="1" s="1"/>
  <c r="C476" i="1"/>
  <c r="D475" i="1"/>
  <c r="E475" i="1" s="1"/>
  <c r="C475" i="1"/>
  <c r="D474" i="1"/>
  <c r="E474" i="1" s="1"/>
  <c r="C474" i="1"/>
  <c r="D473" i="1"/>
  <c r="E473" i="1" s="1"/>
  <c r="C473" i="1"/>
  <c r="D472" i="1"/>
  <c r="E472" i="1" s="1"/>
  <c r="C472" i="1"/>
  <c r="D471" i="1"/>
  <c r="E471" i="1" s="1"/>
  <c r="C471" i="1"/>
  <c r="D470" i="1"/>
  <c r="E470" i="1" s="1"/>
  <c r="C470" i="1"/>
  <c r="D469" i="1"/>
  <c r="E469" i="1" s="1"/>
  <c r="C469" i="1"/>
  <c r="D468" i="1"/>
  <c r="E468" i="1" s="1"/>
  <c r="C468" i="1"/>
  <c r="D467" i="1"/>
  <c r="E467" i="1" s="1"/>
  <c r="C467" i="1"/>
  <c r="D466" i="1"/>
  <c r="E466" i="1" s="1"/>
  <c r="C466" i="1"/>
  <c r="D465" i="1"/>
  <c r="E465" i="1" s="1"/>
  <c r="C465" i="1"/>
  <c r="D464" i="1"/>
  <c r="E464" i="1" s="1"/>
  <c r="C464" i="1"/>
  <c r="D463" i="1"/>
  <c r="E463" i="1" s="1"/>
  <c r="C463" i="1"/>
  <c r="D462" i="1"/>
  <c r="E462" i="1" s="1"/>
  <c r="C462" i="1"/>
  <c r="D461" i="1"/>
  <c r="E461" i="1" s="1"/>
  <c r="C461" i="1"/>
  <c r="D460" i="1"/>
  <c r="E460" i="1" s="1"/>
  <c r="C460" i="1"/>
  <c r="D459" i="1"/>
  <c r="E459" i="1" s="1"/>
  <c r="C459" i="1"/>
  <c r="D458" i="1"/>
  <c r="E458" i="1" s="1"/>
  <c r="C458" i="1"/>
  <c r="D457" i="1"/>
  <c r="E457" i="1" s="1"/>
  <c r="C457" i="1"/>
  <c r="D456" i="1"/>
  <c r="E456" i="1" s="1"/>
  <c r="C456" i="1"/>
  <c r="D455" i="1"/>
  <c r="E455" i="1" s="1"/>
  <c r="C455" i="1"/>
  <c r="D454" i="1"/>
  <c r="E454" i="1" s="1"/>
  <c r="C454" i="1"/>
  <c r="D453" i="1"/>
  <c r="E453" i="1" s="1"/>
  <c r="C453" i="1"/>
  <c r="D452" i="1"/>
  <c r="E452" i="1" s="1"/>
  <c r="C452" i="1"/>
  <c r="D451" i="1"/>
  <c r="E451" i="1" s="1"/>
  <c r="C451" i="1"/>
  <c r="D450" i="1"/>
  <c r="E450" i="1" s="1"/>
  <c r="C450" i="1"/>
  <c r="D449" i="1"/>
  <c r="E449" i="1" s="1"/>
  <c r="C449" i="1"/>
  <c r="D448" i="1"/>
  <c r="E448" i="1" s="1"/>
  <c r="C448" i="1"/>
  <c r="D447" i="1"/>
  <c r="E447" i="1" s="1"/>
  <c r="C447" i="1"/>
  <c r="D446" i="1"/>
  <c r="E446" i="1" s="1"/>
  <c r="C446" i="1"/>
  <c r="D445" i="1"/>
  <c r="E445" i="1" s="1"/>
  <c r="C445" i="1"/>
  <c r="D444" i="1"/>
  <c r="E444" i="1" s="1"/>
  <c r="C444" i="1"/>
  <c r="D443" i="1"/>
  <c r="E443" i="1" s="1"/>
  <c r="C443" i="1"/>
  <c r="D442" i="1"/>
  <c r="E442" i="1" s="1"/>
  <c r="C442" i="1"/>
  <c r="D441" i="1"/>
  <c r="E441" i="1" s="1"/>
  <c r="C441" i="1"/>
  <c r="D440" i="1"/>
  <c r="E440" i="1" s="1"/>
  <c r="C440" i="1"/>
  <c r="D439" i="1"/>
  <c r="E439" i="1" s="1"/>
  <c r="C439" i="1"/>
  <c r="D438" i="1"/>
  <c r="E438" i="1" s="1"/>
  <c r="C438" i="1"/>
  <c r="D437" i="1"/>
  <c r="E437" i="1" s="1"/>
  <c r="C437" i="1"/>
  <c r="D436" i="1"/>
  <c r="E436" i="1" s="1"/>
  <c r="C436" i="1"/>
  <c r="D435" i="1"/>
  <c r="E435" i="1" s="1"/>
  <c r="C435" i="1"/>
  <c r="D434" i="1"/>
  <c r="E434" i="1" s="1"/>
  <c r="C434" i="1"/>
  <c r="D433" i="1"/>
  <c r="E433" i="1" s="1"/>
  <c r="C433" i="1"/>
  <c r="D432" i="1"/>
  <c r="E432" i="1" s="1"/>
  <c r="C432" i="1"/>
  <c r="D431" i="1"/>
  <c r="E431" i="1" s="1"/>
  <c r="C431" i="1"/>
  <c r="D430" i="1"/>
  <c r="E430" i="1" s="1"/>
  <c r="C430" i="1"/>
  <c r="D429" i="1"/>
  <c r="E429" i="1" s="1"/>
  <c r="C429" i="1"/>
  <c r="D428" i="1"/>
  <c r="E428" i="1" s="1"/>
  <c r="C428" i="1"/>
  <c r="D427" i="1"/>
  <c r="E427" i="1" s="1"/>
  <c r="C427" i="1"/>
  <c r="D426" i="1"/>
  <c r="E426" i="1" s="1"/>
  <c r="C426" i="1"/>
  <c r="D425" i="1"/>
  <c r="E425" i="1" s="1"/>
  <c r="C425" i="1"/>
  <c r="D424" i="1"/>
  <c r="E424" i="1" s="1"/>
  <c r="C424" i="1"/>
  <c r="D423" i="1"/>
  <c r="E423" i="1" s="1"/>
  <c r="C423" i="1"/>
  <c r="D422" i="1"/>
  <c r="E422" i="1" s="1"/>
  <c r="C422" i="1"/>
  <c r="D421" i="1"/>
  <c r="E421" i="1" s="1"/>
  <c r="C421" i="1"/>
  <c r="D420" i="1"/>
  <c r="E420" i="1" s="1"/>
  <c r="C420" i="1"/>
  <c r="D419" i="1"/>
  <c r="E419" i="1" s="1"/>
  <c r="C419" i="1"/>
  <c r="D418" i="1"/>
  <c r="E418" i="1" s="1"/>
  <c r="C418" i="1"/>
  <c r="D417" i="1"/>
  <c r="E417" i="1" s="1"/>
  <c r="C417" i="1"/>
  <c r="D416" i="1"/>
  <c r="E416" i="1" s="1"/>
  <c r="C416" i="1"/>
  <c r="D415" i="1"/>
  <c r="E415" i="1" s="1"/>
  <c r="C415" i="1"/>
  <c r="D414" i="1"/>
  <c r="E414" i="1" s="1"/>
  <c r="C414" i="1"/>
  <c r="D413" i="1"/>
  <c r="E413" i="1" s="1"/>
  <c r="C413" i="1"/>
  <c r="D412" i="1"/>
  <c r="E412" i="1" s="1"/>
  <c r="C412" i="1"/>
  <c r="D411" i="1"/>
  <c r="E411" i="1" s="1"/>
  <c r="C411" i="1"/>
  <c r="D410" i="1"/>
  <c r="E410" i="1" s="1"/>
  <c r="C410" i="1"/>
  <c r="D409" i="1"/>
  <c r="E409" i="1" s="1"/>
  <c r="C409" i="1"/>
  <c r="D408" i="1"/>
  <c r="E408" i="1" s="1"/>
  <c r="C408" i="1"/>
  <c r="D407" i="1"/>
  <c r="E407" i="1" s="1"/>
  <c r="C407" i="1"/>
  <c r="D406" i="1"/>
  <c r="E406" i="1" s="1"/>
  <c r="C406" i="1"/>
  <c r="D405" i="1"/>
  <c r="E405" i="1" s="1"/>
  <c r="C405" i="1"/>
  <c r="D404" i="1"/>
  <c r="E404" i="1" s="1"/>
  <c r="C404" i="1"/>
  <c r="D403" i="1"/>
  <c r="E403" i="1" s="1"/>
  <c r="C403" i="1"/>
  <c r="D402" i="1"/>
  <c r="E402" i="1" s="1"/>
  <c r="C402" i="1"/>
  <c r="D401" i="1"/>
  <c r="E401" i="1" s="1"/>
  <c r="C401" i="1"/>
  <c r="D400" i="1"/>
  <c r="E400" i="1" s="1"/>
  <c r="C400" i="1"/>
  <c r="D399" i="1"/>
  <c r="E399" i="1" s="1"/>
  <c r="C399" i="1"/>
  <c r="D398" i="1"/>
  <c r="E398" i="1" s="1"/>
  <c r="C398" i="1"/>
  <c r="D397" i="1"/>
  <c r="E397" i="1" s="1"/>
  <c r="C397" i="1"/>
  <c r="D396" i="1"/>
  <c r="E396" i="1" s="1"/>
  <c r="C396" i="1"/>
  <c r="D395" i="1"/>
  <c r="E395" i="1" s="1"/>
  <c r="C395" i="1"/>
  <c r="D394" i="1"/>
  <c r="E394" i="1" s="1"/>
  <c r="C394" i="1"/>
  <c r="D393" i="1"/>
  <c r="E393" i="1" s="1"/>
  <c r="C393" i="1"/>
  <c r="D392" i="1"/>
  <c r="E392" i="1" s="1"/>
  <c r="C392" i="1"/>
  <c r="D391" i="1"/>
  <c r="E391" i="1" s="1"/>
  <c r="C391" i="1"/>
  <c r="D390" i="1"/>
  <c r="E390" i="1" s="1"/>
  <c r="C390" i="1"/>
  <c r="D389" i="1"/>
  <c r="E389" i="1" s="1"/>
  <c r="C389" i="1"/>
  <c r="D388" i="1"/>
  <c r="E388" i="1" s="1"/>
  <c r="C388" i="1"/>
  <c r="D387" i="1"/>
  <c r="E387" i="1" s="1"/>
  <c r="C387" i="1"/>
  <c r="D386" i="1"/>
  <c r="E386" i="1" s="1"/>
  <c r="C386" i="1"/>
  <c r="D385" i="1"/>
  <c r="E385" i="1" s="1"/>
  <c r="C385" i="1"/>
  <c r="D384" i="1"/>
  <c r="E384" i="1" s="1"/>
  <c r="C384" i="1"/>
  <c r="D383" i="1"/>
  <c r="E383" i="1" s="1"/>
  <c r="C383" i="1"/>
  <c r="D382" i="1"/>
  <c r="E382" i="1" s="1"/>
  <c r="C382" i="1"/>
  <c r="D381" i="1"/>
  <c r="E381" i="1" s="1"/>
  <c r="C381" i="1"/>
  <c r="D380" i="1"/>
  <c r="E380" i="1" s="1"/>
  <c r="C380" i="1"/>
  <c r="D379" i="1"/>
  <c r="E379" i="1" s="1"/>
  <c r="C379" i="1"/>
  <c r="D378" i="1"/>
  <c r="E378" i="1" s="1"/>
  <c r="C378" i="1"/>
  <c r="D377" i="1"/>
  <c r="E377" i="1" s="1"/>
  <c r="C377" i="1"/>
  <c r="D376" i="1"/>
  <c r="E376" i="1" s="1"/>
  <c r="C376" i="1"/>
  <c r="D375" i="1"/>
  <c r="E375" i="1" s="1"/>
  <c r="C375" i="1"/>
  <c r="D374" i="1"/>
  <c r="E374" i="1" s="1"/>
  <c r="C374" i="1"/>
  <c r="D373" i="1"/>
  <c r="E373" i="1" s="1"/>
  <c r="C373" i="1"/>
  <c r="D372" i="1"/>
  <c r="E372" i="1" s="1"/>
  <c r="C372" i="1"/>
  <c r="D371" i="1"/>
  <c r="E371" i="1" s="1"/>
  <c r="C371" i="1"/>
  <c r="D370" i="1"/>
  <c r="E370" i="1" s="1"/>
  <c r="C370" i="1"/>
  <c r="D369" i="1"/>
  <c r="E369" i="1" s="1"/>
  <c r="C369" i="1"/>
  <c r="D368" i="1"/>
  <c r="E368" i="1" s="1"/>
  <c r="C368" i="1"/>
  <c r="D367" i="1"/>
  <c r="E367" i="1" s="1"/>
  <c r="C367" i="1"/>
  <c r="D366" i="1"/>
  <c r="E366" i="1" s="1"/>
  <c r="C366" i="1"/>
  <c r="D365" i="1"/>
  <c r="E365" i="1" s="1"/>
  <c r="C365" i="1"/>
  <c r="D364" i="1"/>
  <c r="E364" i="1" s="1"/>
  <c r="C364" i="1"/>
  <c r="D363" i="1"/>
  <c r="E363" i="1" s="1"/>
  <c r="C363" i="1"/>
  <c r="D362" i="1"/>
  <c r="E362" i="1" s="1"/>
  <c r="C362" i="1"/>
  <c r="D361" i="1"/>
  <c r="E361" i="1" s="1"/>
  <c r="C361" i="1"/>
  <c r="D360" i="1"/>
  <c r="E360" i="1" s="1"/>
  <c r="C360" i="1"/>
  <c r="D359" i="1"/>
  <c r="E359" i="1" s="1"/>
  <c r="C359" i="1"/>
  <c r="D358" i="1"/>
  <c r="E358" i="1" s="1"/>
  <c r="C358" i="1"/>
  <c r="D357" i="1"/>
  <c r="E357" i="1" s="1"/>
  <c r="C357" i="1"/>
  <c r="D356" i="1"/>
  <c r="E356" i="1" s="1"/>
  <c r="C356" i="1"/>
  <c r="D355" i="1"/>
  <c r="E355" i="1" s="1"/>
  <c r="C355" i="1"/>
  <c r="D354" i="1"/>
  <c r="E354" i="1" s="1"/>
  <c r="C354" i="1"/>
  <c r="D353" i="1"/>
  <c r="E353" i="1" s="1"/>
  <c r="C353" i="1"/>
  <c r="D352" i="1"/>
  <c r="E352" i="1" s="1"/>
  <c r="C352" i="1"/>
  <c r="D351" i="1"/>
  <c r="E351" i="1" s="1"/>
  <c r="C351" i="1"/>
  <c r="D350" i="1"/>
  <c r="E350" i="1" s="1"/>
  <c r="C350" i="1"/>
  <c r="D349" i="1"/>
  <c r="E349" i="1" s="1"/>
  <c r="C349" i="1"/>
  <c r="D348" i="1"/>
  <c r="E348" i="1" s="1"/>
  <c r="C348" i="1"/>
  <c r="D347" i="1"/>
  <c r="E347" i="1" s="1"/>
  <c r="C347" i="1"/>
  <c r="D346" i="1"/>
  <c r="E346" i="1" s="1"/>
  <c r="C346" i="1"/>
  <c r="D345" i="1"/>
  <c r="E345" i="1" s="1"/>
  <c r="C345" i="1"/>
  <c r="D344" i="1"/>
  <c r="E344" i="1" s="1"/>
  <c r="C344" i="1"/>
  <c r="D343" i="1"/>
  <c r="E343" i="1" s="1"/>
  <c r="C343" i="1"/>
  <c r="D342" i="1"/>
  <c r="E342" i="1" s="1"/>
  <c r="C342" i="1"/>
  <c r="D341" i="1"/>
  <c r="E341" i="1" s="1"/>
  <c r="C341" i="1"/>
  <c r="D340" i="1"/>
  <c r="E340" i="1" s="1"/>
  <c r="C340" i="1"/>
  <c r="D339" i="1"/>
  <c r="E339" i="1" s="1"/>
  <c r="C339" i="1"/>
  <c r="D338" i="1"/>
  <c r="E338" i="1" s="1"/>
  <c r="C338" i="1"/>
  <c r="D337" i="1"/>
  <c r="E337" i="1" s="1"/>
  <c r="C337" i="1"/>
  <c r="D336" i="1"/>
  <c r="E336" i="1" s="1"/>
  <c r="C336" i="1"/>
  <c r="D335" i="1"/>
  <c r="E335" i="1" s="1"/>
  <c r="C335" i="1"/>
  <c r="D334" i="1"/>
  <c r="E334" i="1" s="1"/>
  <c r="C334" i="1"/>
  <c r="D333" i="1"/>
  <c r="E333" i="1" s="1"/>
  <c r="C333" i="1"/>
  <c r="D332" i="1"/>
  <c r="E332" i="1" s="1"/>
  <c r="C332" i="1"/>
  <c r="D331" i="1"/>
  <c r="E331" i="1" s="1"/>
  <c r="C331" i="1"/>
  <c r="D330" i="1"/>
  <c r="E330" i="1" s="1"/>
  <c r="C330" i="1"/>
  <c r="D329" i="1"/>
  <c r="E329" i="1" s="1"/>
  <c r="C329" i="1"/>
  <c r="D328" i="1"/>
  <c r="E328" i="1" s="1"/>
  <c r="C328" i="1"/>
  <c r="D327" i="1"/>
  <c r="E327" i="1" s="1"/>
  <c r="C327" i="1"/>
  <c r="D326" i="1"/>
  <c r="E326" i="1" s="1"/>
  <c r="C326" i="1"/>
  <c r="D325" i="1"/>
  <c r="E325" i="1" s="1"/>
  <c r="C325" i="1"/>
  <c r="D324" i="1"/>
  <c r="E324" i="1" s="1"/>
  <c r="C324" i="1"/>
  <c r="D323" i="1"/>
  <c r="E323" i="1" s="1"/>
  <c r="C323" i="1"/>
  <c r="D322" i="1"/>
  <c r="E322" i="1" s="1"/>
  <c r="C322" i="1"/>
  <c r="D321" i="1"/>
  <c r="E321" i="1" s="1"/>
  <c r="C321" i="1"/>
  <c r="D320" i="1"/>
  <c r="E320" i="1" s="1"/>
  <c r="C320" i="1"/>
  <c r="D319" i="1"/>
  <c r="E319" i="1" s="1"/>
  <c r="C319" i="1"/>
  <c r="D318" i="1"/>
  <c r="E318" i="1" s="1"/>
  <c r="C318" i="1"/>
  <c r="D317" i="1"/>
  <c r="E317" i="1" s="1"/>
  <c r="C317" i="1"/>
  <c r="D316" i="1"/>
  <c r="E316" i="1" s="1"/>
  <c r="C316" i="1"/>
  <c r="D315" i="1"/>
  <c r="E315" i="1" s="1"/>
  <c r="C315" i="1"/>
  <c r="D314" i="1"/>
  <c r="E314" i="1" s="1"/>
  <c r="C314" i="1"/>
  <c r="D313" i="1"/>
  <c r="E313" i="1" s="1"/>
  <c r="C313" i="1"/>
  <c r="D312" i="1"/>
  <c r="E312" i="1" s="1"/>
  <c r="C312" i="1"/>
  <c r="D311" i="1"/>
  <c r="E311" i="1" s="1"/>
  <c r="C311" i="1"/>
  <c r="D310" i="1"/>
  <c r="E310" i="1" s="1"/>
  <c r="C310" i="1"/>
  <c r="D309" i="1"/>
  <c r="E309" i="1" s="1"/>
  <c r="C309" i="1"/>
  <c r="D308" i="1"/>
  <c r="E308" i="1" s="1"/>
  <c r="C308" i="1"/>
  <c r="D307" i="1"/>
  <c r="E307" i="1" s="1"/>
  <c r="C307" i="1"/>
  <c r="D306" i="1"/>
  <c r="E306" i="1" s="1"/>
  <c r="C306" i="1"/>
  <c r="D305" i="1"/>
  <c r="E305" i="1" s="1"/>
  <c r="C305" i="1"/>
  <c r="D304" i="1"/>
  <c r="E304" i="1" s="1"/>
  <c r="C304" i="1"/>
  <c r="D303" i="1"/>
  <c r="E303" i="1" s="1"/>
  <c r="C303" i="1"/>
  <c r="D302" i="1"/>
  <c r="E302" i="1" s="1"/>
  <c r="C302" i="1"/>
  <c r="D301" i="1"/>
  <c r="E301" i="1" s="1"/>
  <c r="C301" i="1"/>
  <c r="D300" i="1"/>
  <c r="E300" i="1" s="1"/>
  <c r="C300" i="1"/>
  <c r="D299" i="1"/>
  <c r="E299" i="1" s="1"/>
  <c r="C299" i="1"/>
  <c r="D298" i="1"/>
  <c r="E298" i="1" s="1"/>
  <c r="C298" i="1"/>
  <c r="D297" i="1"/>
  <c r="E297" i="1" s="1"/>
  <c r="C297" i="1"/>
  <c r="D296" i="1"/>
  <c r="E296" i="1" s="1"/>
  <c r="C296" i="1"/>
  <c r="D295" i="1"/>
  <c r="E295" i="1" s="1"/>
  <c r="C295" i="1"/>
  <c r="D294" i="1"/>
  <c r="E294" i="1" s="1"/>
  <c r="C294" i="1"/>
  <c r="D293" i="1"/>
  <c r="E293" i="1" s="1"/>
  <c r="C293" i="1"/>
  <c r="D292" i="1"/>
  <c r="E292" i="1" s="1"/>
  <c r="C292" i="1"/>
  <c r="D291" i="1"/>
  <c r="E291" i="1" s="1"/>
  <c r="C291" i="1"/>
  <c r="D290" i="1"/>
  <c r="E290" i="1" s="1"/>
  <c r="C290" i="1"/>
  <c r="D289" i="1"/>
  <c r="E289" i="1" s="1"/>
  <c r="C289" i="1"/>
  <c r="D288" i="1"/>
  <c r="E288" i="1" s="1"/>
  <c r="C288" i="1"/>
  <c r="D287" i="1"/>
  <c r="E287" i="1" s="1"/>
  <c r="C287" i="1"/>
  <c r="D286" i="1"/>
  <c r="E286" i="1" s="1"/>
  <c r="C286" i="1"/>
  <c r="D285" i="1"/>
  <c r="E285" i="1" s="1"/>
  <c r="C285" i="1"/>
  <c r="D284" i="1"/>
  <c r="E284" i="1" s="1"/>
  <c r="C284" i="1"/>
  <c r="D283" i="1"/>
  <c r="E283" i="1" s="1"/>
  <c r="C283" i="1"/>
  <c r="D282" i="1"/>
  <c r="E282" i="1" s="1"/>
  <c r="C282" i="1"/>
  <c r="D281" i="1"/>
  <c r="E281" i="1" s="1"/>
  <c r="C281" i="1"/>
  <c r="D280" i="1"/>
  <c r="E280" i="1" s="1"/>
  <c r="C280" i="1"/>
  <c r="D279" i="1"/>
  <c r="E279" i="1" s="1"/>
  <c r="C279" i="1"/>
  <c r="D278" i="1"/>
  <c r="E278" i="1" s="1"/>
  <c r="C278" i="1"/>
  <c r="D277" i="1"/>
  <c r="E277" i="1" s="1"/>
  <c r="C277" i="1"/>
  <c r="D276" i="1"/>
  <c r="E276" i="1" s="1"/>
  <c r="C276" i="1"/>
  <c r="D275" i="1"/>
  <c r="E275" i="1" s="1"/>
  <c r="C275" i="1"/>
  <c r="D274" i="1"/>
  <c r="E274" i="1" s="1"/>
  <c r="C274" i="1"/>
  <c r="D273" i="1"/>
  <c r="E273" i="1" s="1"/>
  <c r="C273" i="1"/>
  <c r="D272" i="1"/>
  <c r="E272" i="1" s="1"/>
  <c r="C272" i="1"/>
  <c r="D271" i="1"/>
  <c r="E271" i="1" s="1"/>
  <c r="C271" i="1"/>
  <c r="D270" i="1"/>
  <c r="E270" i="1" s="1"/>
  <c r="C270" i="1"/>
  <c r="D269" i="1"/>
  <c r="E269" i="1" s="1"/>
  <c r="C269" i="1"/>
  <c r="D268" i="1"/>
  <c r="E268" i="1" s="1"/>
  <c r="C268" i="1"/>
  <c r="D267" i="1"/>
  <c r="E267" i="1" s="1"/>
  <c r="C267" i="1"/>
  <c r="D266" i="1"/>
  <c r="E266" i="1" s="1"/>
  <c r="C266" i="1"/>
  <c r="D265" i="1"/>
  <c r="E265" i="1" s="1"/>
  <c r="C265" i="1"/>
  <c r="D264" i="1"/>
  <c r="E264" i="1" s="1"/>
  <c r="C264" i="1"/>
  <c r="D263" i="1"/>
  <c r="E263" i="1" s="1"/>
  <c r="C263" i="1"/>
  <c r="D262" i="1"/>
  <c r="E262" i="1" s="1"/>
  <c r="C262" i="1"/>
  <c r="D261" i="1"/>
  <c r="E261" i="1" s="1"/>
  <c r="C261" i="1"/>
  <c r="D260" i="1"/>
  <c r="E260" i="1" s="1"/>
  <c r="C260" i="1"/>
  <c r="D259" i="1"/>
  <c r="E259" i="1" s="1"/>
  <c r="C259" i="1"/>
  <c r="D258" i="1"/>
  <c r="E258" i="1" s="1"/>
  <c r="C258" i="1"/>
  <c r="D257" i="1"/>
  <c r="E257" i="1" s="1"/>
  <c r="C257" i="1"/>
  <c r="D256" i="1"/>
  <c r="E256" i="1" s="1"/>
  <c r="C256" i="1"/>
  <c r="D255" i="1"/>
  <c r="E255" i="1" s="1"/>
  <c r="C255" i="1"/>
  <c r="D254" i="1"/>
  <c r="E254" i="1" s="1"/>
  <c r="C254" i="1"/>
  <c r="D253" i="1"/>
  <c r="E253" i="1" s="1"/>
  <c r="C253" i="1"/>
  <c r="D252" i="1"/>
  <c r="E252" i="1" s="1"/>
  <c r="C252" i="1"/>
  <c r="D251" i="1"/>
  <c r="E251" i="1" s="1"/>
  <c r="C251" i="1"/>
  <c r="D250" i="1"/>
  <c r="E250" i="1" s="1"/>
  <c r="C250" i="1"/>
  <c r="D249" i="1"/>
  <c r="E249" i="1" s="1"/>
  <c r="C249" i="1"/>
  <c r="D248" i="1"/>
  <c r="E248" i="1" s="1"/>
  <c r="C248" i="1"/>
  <c r="D247" i="1"/>
  <c r="E247" i="1" s="1"/>
  <c r="C247" i="1"/>
  <c r="D246" i="1"/>
  <c r="E246" i="1" s="1"/>
  <c r="C246" i="1"/>
  <c r="D245" i="1"/>
  <c r="E245" i="1" s="1"/>
  <c r="C245" i="1"/>
  <c r="D244" i="1"/>
  <c r="E244" i="1" s="1"/>
  <c r="C244" i="1"/>
  <c r="D243" i="1"/>
  <c r="E243" i="1" s="1"/>
  <c r="C243" i="1"/>
  <c r="D242" i="1"/>
  <c r="E242" i="1" s="1"/>
  <c r="C242" i="1"/>
  <c r="D241" i="1"/>
  <c r="E241" i="1" s="1"/>
  <c r="C241" i="1"/>
  <c r="D240" i="1"/>
  <c r="E240" i="1" s="1"/>
  <c r="C240" i="1"/>
  <c r="D239" i="1"/>
  <c r="E239" i="1" s="1"/>
  <c r="C239" i="1"/>
  <c r="D238" i="1"/>
  <c r="E238" i="1" s="1"/>
  <c r="C238" i="1"/>
  <c r="D237" i="1"/>
  <c r="E237" i="1" s="1"/>
  <c r="C237" i="1"/>
  <c r="D236" i="1"/>
  <c r="E236" i="1" s="1"/>
  <c r="C236" i="1"/>
  <c r="D235" i="1"/>
  <c r="E235" i="1" s="1"/>
  <c r="C235" i="1"/>
  <c r="D234" i="1"/>
  <c r="E234" i="1" s="1"/>
  <c r="C234" i="1"/>
  <c r="D233" i="1"/>
  <c r="E233" i="1" s="1"/>
  <c r="C233" i="1"/>
  <c r="D232" i="1"/>
  <c r="E232" i="1" s="1"/>
  <c r="C232" i="1"/>
  <c r="D231" i="1"/>
  <c r="E231" i="1" s="1"/>
  <c r="C231" i="1"/>
  <c r="D230" i="1"/>
  <c r="E230" i="1" s="1"/>
  <c r="C230" i="1"/>
  <c r="D229" i="1"/>
  <c r="E229" i="1" s="1"/>
  <c r="C229" i="1"/>
  <c r="D228" i="1"/>
  <c r="E228" i="1" s="1"/>
  <c r="C228" i="1"/>
  <c r="D227" i="1"/>
  <c r="E227" i="1" s="1"/>
  <c r="C227" i="1"/>
  <c r="D226" i="1"/>
  <c r="E226" i="1" s="1"/>
  <c r="C226" i="1"/>
  <c r="D225" i="1"/>
  <c r="E225" i="1" s="1"/>
  <c r="C225" i="1"/>
  <c r="D224" i="1"/>
  <c r="E224" i="1" s="1"/>
  <c r="C224" i="1"/>
  <c r="D223" i="1"/>
  <c r="E223" i="1" s="1"/>
  <c r="C223" i="1"/>
  <c r="D222" i="1"/>
  <c r="E222" i="1" s="1"/>
  <c r="C222" i="1"/>
  <c r="D221" i="1"/>
  <c r="E221" i="1" s="1"/>
  <c r="C221" i="1"/>
  <c r="D220" i="1"/>
  <c r="E220" i="1" s="1"/>
  <c r="C220" i="1"/>
  <c r="D219" i="1"/>
  <c r="E219" i="1" s="1"/>
  <c r="C219" i="1"/>
  <c r="D218" i="1"/>
  <c r="E218" i="1" s="1"/>
  <c r="C218" i="1"/>
  <c r="D217" i="1"/>
  <c r="E217" i="1" s="1"/>
  <c r="C217" i="1"/>
  <c r="D216" i="1"/>
  <c r="E216" i="1" s="1"/>
  <c r="C216" i="1"/>
  <c r="D215" i="1"/>
  <c r="E215" i="1" s="1"/>
  <c r="C215" i="1"/>
  <c r="D214" i="1"/>
  <c r="E214" i="1" s="1"/>
  <c r="C214" i="1"/>
  <c r="D213" i="1"/>
  <c r="E213" i="1" s="1"/>
  <c r="C213" i="1"/>
  <c r="D212" i="1"/>
  <c r="E212" i="1" s="1"/>
  <c r="C212" i="1"/>
  <c r="D211" i="1"/>
  <c r="E211" i="1" s="1"/>
  <c r="C211" i="1"/>
  <c r="D210" i="1"/>
  <c r="E210" i="1" s="1"/>
  <c r="C210" i="1"/>
  <c r="D209" i="1"/>
  <c r="E209" i="1" s="1"/>
  <c r="C209" i="1"/>
  <c r="D208" i="1"/>
  <c r="E208" i="1" s="1"/>
  <c r="C208" i="1"/>
  <c r="D207" i="1"/>
  <c r="E207" i="1" s="1"/>
  <c r="C207" i="1"/>
  <c r="D206" i="1"/>
  <c r="E206" i="1" s="1"/>
  <c r="C206" i="1"/>
  <c r="D205" i="1"/>
  <c r="E205" i="1" s="1"/>
  <c r="C205" i="1"/>
  <c r="D204" i="1"/>
  <c r="E204" i="1" s="1"/>
  <c r="C204" i="1"/>
  <c r="D203" i="1"/>
  <c r="E203" i="1" s="1"/>
  <c r="C203" i="1"/>
  <c r="D202" i="1"/>
  <c r="E202" i="1" s="1"/>
  <c r="C202" i="1"/>
  <c r="D201" i="1"/>
  <c r="E201" i="1" s="1"/>
  <c r="C201" i="1"/>
  <c r="D200" i="1"/>
  <c r="E200" i="1" s="1"/>
  <c r="C200" i="1"/>
  <c r="D199" i="1"/>
  <c r="E199" i="1" s="1"/>
  <c r="C199" i="1"/>
  <c r="D198" i="1"/>
  <c r="E198" i="1" s="1"/>
  <c r="C198" i="1"/>
  <c r="D197" i="1"/>
  <c r="E197" i="1" s="1"/>
  <c r="C197" i="1"/>
  <c r="D196" i="1"/>
  <c r="E196" i="1" s="1"/>
  <c r="C196" i="1"/>
  <c r="D195" i="1"/>
  <c r="E195" i="1" s="1"/>
  <c r="C195" i="1"/>
  <c r="D194" i="1"/>
  <c r="E194" i="1" s="1"/>
  <c r="C194" i="1"/>
  <c r="D193" i="1"/>
  <c r="E193" i="1" s="1"/>
  <c r="C193" i="1"/>
  <c r="D192" i="1"/>
  <c r="E192" i="1" s="1"/>
  <c r="C192" i="1"/>
  <c r="D191" i="1"/>
  <c r="E191" i="1" s="1"/>
  <c r="C191" i="1"/>
  <c r="D190" i="1"/>
  <c r="E190" i="1" s="1"/>
  <c r="C190" i="1"/>
  <c r="D189" i="1"/>
  <c r="E189" i="1" s="1"/>
  <c r="C189" i="1"/>
  <c r="D188" i="1"/>
  <c r="E188" i="1" s="1"/>
  <c r="C188" i="1"/>
  <c r="D187" i="1"/>
  <c r="E187" i="1" s="1"/>
  <c r="C187" i="1"/>
  <c r="D186" i="1"/>
  <c r="E186" i="1" s="1"/>
  <c r="C186" i="1"/>
  <c r="D185" i="1"/>
  <c r="E185" i="1" s="1"/>
  <c r="C185" i="1"/>
  <c r="D184" i="1"/>
  <c r="E184" i="1" s="1"/>
  <c r="C184" i="1"/>
  <c r="D183" i="1"/>
  <c r="E183" i="1" s="1"/>
  <c r="C183" i="1"/>
  <c r="D182" i="1"/>
  <c r="E182" i="1" s="1"/>
  <c r="C182" i="1"/>
  <c r="D181" i="1"/>
  <c r="E181" i="1" s="1"/>
  <c r="C181" i="1"/>
  <c r="D180" i="1"/>
  <c r="E180" i="1" s="1"/>
  <c r="C180" i="1"/>
  <c r="D179" i="1"/>
  <c r="E179" i="1" s="1"/>
  <c r="C179" i="1"/>
  <c r="D178" i="1"/>
  <c r="E178" i="1" s="1"/>
  <c r="C178" i="1"/>
  <c r="D177" i="1"/>
  <c r="E177" i="1" s="1"/>
  <c r="C177" i="1"/>
  <c r="D176" i="1"/>
  <c r="E176" i="1" s="1"/>
  <c r="C176" i="1"/>
  <c r="D175" i="1"/>
  <c r="E175" i="1" s="1"/>
  <c r="C175" i="1"/>
  <c r="D174" i="1"/>
  <c r="E174" i="1" s="1"/>
  <c r="C174" i="1"/>
  <c r="D173" i="1"/>
  <c r="E173" i="1" s="1"/>
  <c r="C173" i="1"/>
  <c r="D172" i="1"/>
  <c r="E172" i="1" s="1"/>
  <c r="C172" i="1"/>
  <c r="D171" i="1"/>
  <c r="E171" i="1" s="1"/>
  <c r="C171" i="1"/>
  <c r="D170" i="1"/>
  <c r="E170" i="1" s="1"/>
  <c r="C170" i="1"/>
  <c r="D169" i="1"/>
  <c r="E169" i="1" s="1"/>
  <c r="C169" i="1"/>
  <c r="D168" i="1"/>
  <c r="E168" i="1" s="1"/>
  <c r="C168" i="1"/>
  <c r="D167" i="1"/>
  <c r="E167" i="1" s="1"/>
  <c r="C167" i="1"/>
  <c r="D166" i="1"/>
  <c r="E166" i="1" s="1"/>
  <c r="C166" i="1"/>
  <c r="D165" i="1"/>
  <c r="E165" i="1" s="1"/>
  <c r="C165" i="1"/>
  <c r="D164" i="1"/>
  <c r="E164" i="1" s="1"/>
  <c r="C164" i="1"/>
  <c r="D163" i="1"/>
  <c r="E163" i="1" s="1"/>
  <c r="C163" i="1"/>
  <c r="D162" i="1"/>
  <c r="E162" i="1" s="1"/>
  <c r="C162" i="1"/>
  <c r="D161" i="1"/>
  <c r="E161" i="1" s="1"/>
  <c r="C161" i="1"/>
  <c r="D160" i="1"/>
  <c r="E160" i="1" s="1"/>
  <c r="C160" i="1"/>
  <c r="D159" i="1"/>
  <c r="E159" i="1" s="1"/>
  <c r="C159" i="1"/>
  <c r="D158" i="1"/>
  <c r="E158" i="1" s="1"/>
  <c r="C158" i="1"/>
  <c r="D157" i="1"/>
  <c r="E157" i="1" s="1"/>
  <c r="C157" i="1"/>
  <c r="D156" i="1"/>
  <c r="E156" i="1" s="1"/>
  <c r="C156" i="1"/>
  <c r="D155" i="1"/>
  <c r="E155" i="1" s="1"/>
  <c r="C155" i="1"/>
  <c r="D154" i="1"/>
  <c r="E154" i="1" s="1"/>
  <c r="C154" i="1"/>
  <c r="D153" i="1"/>
  <c r="E153" i="1" s="1"/>
  <c r="C153" i="1"/>
  <c r="D152" i="1"/>
  <c r="E152" i="1" s="1"/>
  <c r="C152" i="1"/>
  <c r="D151" i="1"/>
  <c r="E151" i="1" s="1"/>
  <c r="C151" i="1"/>
  <c r="D150" i="1"/>
  <c r="E150" i="1" s="1"/>
  <c r="C150" i="1"/>
  <c r="D149" i="1"/>
  <c r="E149" i="1" s="1"/>
  <c r="C149" i="1"/>
  <c r="D148" i="1"/>
  <c r="E148" i="1" s="1"/>
  <c r="C148" i="1"/>
  <c r="D147" i="1"/>
  <c r="E147" i="1" s="1"/>
  <c r="C147" i="1"/>
  <c r="D146" i="1"/>
  <c r="E146" i="1" s="1"/>
  <c r="C146" i="1"/>
  <c r="D145" i="1"/>
  <c r="E145" i="1" s="1"/>
  <c r="C145" i="1"/>
  <c r="D144" i="1"/>
  <c r="E144" i="1" s="1"/>
  <c r="C144" i="1"/>
  <c r="D143" i="1"/>
  <c r="E143" i="1" s="1"/>
  <c r="C143" i="1"/>
  <c r="D142" i="1"/>
  <c r="E142" i="1" s="1"/>
  <c r="C142" i="1"/>
  <c r="D141" i="1"/>
  <c r="E141" i="1" s="1"/>
  <c r="C141" i="1"/>
  <c r="D140" i="1"/>
  <c r="E140" i="1" s="1"/>
  <c r="C140" i="1"/>
  <c r="D139" i="1"/>
  <c r="E139" i="1" s="1"/>
  <c r="C139" i="1"/>
  <c r="D138" i="1"/>
  <c r="E138" i="1" s="1"/>
  <c r="C138" i="1"/>
  <c r="D137" i="1"/>
  <c r="E137" i="1" s="1"/>
  <c r="C137" i="1"/>
  <c r="D136" i="1"/>
  <c r="E136" i="1" s="1"/>
  <c r="C136" i="1"/>
  <c r="D135" i="1"/>
  <c r="E135" i="1" s="1"/>
  <c r="C135" i="1"/>
  <c r="D134" i="1"/>
  <c r="E134" i="1" s="1"/>
  <c r="C134" i="1"/>
  <c r="D133" i="1"/>
  <c r="E133" i="1" s="1"/>
  <c r="C133" i="1"/>
  <c r="D132" i="1"/>
  <c r="E132" i="1" s="1"/>
  <c r="C132" i="1"/>
  <c r="D131" i="1"/>
  <c r="E131" i="1" s="1"/>
  <c r="C131" i="1"/>
  <c r="D130" i="1"/>
  <c r="E130" i="1" s="1"/>
  <c r="C130" i="1"/>
  <c r="D129" i="1"/>
  <c r="E129" i="1" s="1"/>
  <c r="C129" i="1"/>
  <c r="D128" i="1"/>
  <c r="E128" i="1" s="1"/>
  <c r="C128" i="1"/>
  <c r="D127" i="1"/>
  <c r="E127" i="1" s="1"/>
  <c r="C127" i="1"/>
  <c r="D126" i="1"/>
  <c r="E126" i="1" s="1"/>
  <c r="C126" i="1"/>
  <c r="D125" i="1"/>
  <c r="E125" i="1" s="1"/>
  <c r="C125" i="1"/>
  <c r="D124" i="1"/>
  <c r="E124" i="1" s="1"/>
  <c r="C124" i="1"/>
  <c r="D123" i="1"/>
  <c r="E123" i="1" s="1"/>
  <c r="C123" i="1"/>
  <c r="D122" i="1"/>
  <c r="E122" i="1" s="1"/>
  <c r="C122" i="1"/>
  <c r="D121" i="1"/>
  <c r="E121" i="1" s="1"/>
  <c r="C121" i="1"/>
  <c r="D120" i="1"/>
  <c r="E120" i="1" s="1"/>
  <c r="C120" i="1"/>
  <c r="D119" i="1"/>
  <c r="E119" i="1" s="1"/>
  <c r="C119" i="1"/>
  <c r="D118" i="1"/>
  <c r="E118" i="1" s="1"/>
  <c r="C118" i="1"/>
  <c r="D117" i="1"/>
  <c r="E117" i="1" s="1"/>
  <c r="C117" i="1"/>
  <c r="D116" i="1"/>
  <c r="E116" i="1" s="1"/>
  <c r="C116" i="1"/>
  <c r="D115" i="1"/>
  <c r="E115" i="1" s="1"/>
  <c r="C115" i="1"/>
  <c r="D114" i="1"/>
  <c r="E114" i="1" s="1"/>
  <c r="C114" i="1"/>
  <c r="D113" i="1"/>
  <c r="E113" i="1" s="1"/>
  <c r="C113" i="1"/>
  <c r="D112" i="1"/>
  <c r="E112" i="1" s="1"/>
  <c r="C112" i="1"/>
  <c r="D111" i="1"/>
  <c r="E111" i="1" s="1"/>
  <c r="C111" i="1"/>
  <c r="D110" i="1"/>
  <c r="E110" i="1" s="1"/>
  <c r="C110" i="1"/>
  <c r="D109" i="1"/>
  <c r="E109" i="1" s="1"/>
  <c r="C109" i="1"/>
  <c r="D108" i="1"/>
  <c r="E108" i="1" s="1"/>
  <c r="C108" i="1"/>
  <c r="D107" i="1"/>
  <c r="E107" i="1" s="1"/>
  <c r="C107" i="1"/>
  <c r="D106" i="1"/>
  <c r="E106" i="1" s="1"/>
  <c r="C106" i="1"/>
  <c r="D105" i="1"/>
  <c r="E105" i="1" s="1"/>
  <c r="C105" i="1"/>
  <c r="D104" i="1"/>
  <c r="E104" i="1" s="1"/>
  <c r="C104" i="1"/>
  <c r="D103" i="1"/>
  <c r="E103" i="1" s="1"/>
  <c r="C103" i="1"/>
  <c r="D102" i="1"/>
  <c r="E102" i="1" s="1"/>
  <c r="C102" i="1"/>
  <c r="D101" i="1"/>
  <c r="E101" i="1" s="1"/>
  <c r="C101" i="1"/>
  <c r="D100" i="1"/>
  <c r="E100" i="1" s="1"/>
  <c r="C100" i="1"/>
  <c r="D99" i="1"/>
  <c r="E99" i="1" s="1"/>
  <c r="C99" i="1"/>
  <c r="D98" i="1"/>
  <c r="E98" i="1" s="1"/>
  <c r="C98" i="1"/>
  <c r="D97" i="1"/>
  <c r="E97" i="1" s="1"/>
  <c r="C97" i="1"/>
  <c r="D96" i="1"/>
  <c r="E96" i="1" s="1"/>
  <c r="C96" i="1"/>
  <c r="D95" i="1"/>
  <c r="E95" i="1" s="1"/>
  <c r="C95" i="1"/>
  <c r="D94" i="1"/>
  <c r="E94" i="1" s="1"/>
  <c r="C94" i="1"/>
  <c r="D93" i="1"/>
  <c r="E93" i="1" s="1"/>
  <c r="C93" i="1"/>
  <c r="D92" i="1"/>
  <c r="E92" i="1" s="1"/>
  <c r="C92" i="1"/>
  <c r="D91" i="1"/>
  <c r="E91" i="1" s="1"/>
  <c r="C91" i="1"/>
  <c r="D90" i="1"/>
  <c r="E90" i="1" s="1"/>
  <c r="C90" i="1"/>
  <c r="D89" i="1"/>
  <c r="E89" i="1" s="1"/>
  <c r="C89" i="1"/>
  <c r="D88" i="1"/>
  <c r="E88" i="1" s="1"/>
  <c r="C88" i="1"/>
  <c r="D87" i="1"/>
  <c r="E87" i="1" s="1"/>
  <c r="C87" i="1"/>
  <c r="D86" i="1"/>
  <c r="E86" i="1" s="1"/>
  <c r="C86" i="1"/>
  <c r="D85" i="1"/>
  <c r="E85" i="1" s="1"/>
  <c r="C85" i="1"/>
  <c r="D84" i="1"/>
  <c r="E84" i="1" s="1"/>
  <c r="C84" i="1"/>
  <c r="D83" i="1"/>
  <c r="E83" i="1" s="1"/>
  <c r="C83" i="1"/>
  <c r="D82" i="1"/>
  <c r="E82" i="1" s="1"/>
  <c r="C82" i="1"/>
  <c r="D81" i="1"/>
  <c r="E81" i="1" s="1"/>
  <c r="C81" i="1"/>
  <c r="D80" i="1"/>
  <c r="E80" i="1" s="1"/>
  <c r="C80" i="1"/>
  <c r="D79" i="1"/>
  <c r="E79" i="1" s="1"/>
  <c r="C79" i="1"/>
  <c r="D78" i="1"/>
  <c r="E78" i="1" s="1"/>
  <c r="C78" i="1"/>
  <c r="D77" i="1"/>
  <c r="E77" i="1" s="1"/>
  <c r="C77" i="1"/>
  <c r="D76" i="1"/>
  <c r="E76" i="1" s="1"/>
  <c r="C76" i="1"/>
  <c r="D75" i="1"/>
  <c r="E75" i="1" s="1"/>
  <c r="C75" i="1"/>
  <c r="D74" i="1"/>
  <c r="E74" i="1" s="1"/>
  <c r="C74" i="1"/>
  <c r="D73" i="1"/>
  <c r="E73" i="1" s="1"/>
  <c r="C73" i="1"/>
  <c r="D72" i="1"/>
  <c r="E72" i="1" s="1"/>
  <c r="C72" i="1"/>
  <c r="D71" i="1"/>
  <c r="E71" i="1" s="1"/>
  <c r="C71" i="1"/>
  <c r="D70" i="1"/>
  <c r="E70" i="1" s="1"/>
  <c r="C70" i="1"/>
  <c r="D69" i="1"/>
  <c r="E69" i="1" s="1"/>
  <c r="C69" i="1"/>
  <c r="D68" i="1"/>
  <c r="E68" i="1" s="1"/>
  <c r="C68" i="1"/>
  <c r="D67" i="1"/>
  <c r="E67" i="1" s="1"/>
  <c r="C67" i="1"/>
  <c r="D66" i="1"/>
  <c r="E66" i="1" s="1"/>
  <c r="C66" i="1"/>
  <c r="D65" i="1"/>
  <c r="E65" i="1" s="1"/>
  <c r="C65" i="1"/>
  <c r="D64" i="1"/>
  <c r="E64" i="1" s="1"/>
  <c r="C64" i="1"/>
  <c r="D63" i="1"/>
  <c r="E63" i="1" s="1"/>
  <c r="C63" i="1"/>
  <c r="D62" i="1"/>
  <c r="E62" i="1" s="1"/>
  <c r="C62" i="1"/>
  <c r="D61" i="1"/>
  <c r="E61" i="1" s="1"/>
  <c r="C61" i="1"/>
  <c r="D60" i="1"/>
  <c r="E60" i="1" s="1"/>
  <c r="C60" i="1"/>
  <c r="D59" i="1"/>
  <c r="E59" i="1" s="1"/>
  <c r="C59" i="1"/>
  <c r="D58" i="1"/>
  <c r="E58" i="1" s="1"/>
  <c r="C58" i="1"/>
  <c r="D57" i="1"/>
  <c r="E57" i="1" s="1"/>
  <c r="C57" i="1"/>
  <c r="D56" i="1"/>
  <c r="E56" i="1" s="1"/>
  <c r="C56" i="1"/>
  <c r="D55" i="1"/>
  <c r="E55" i="1" s="1"/>
  <c r="C55" i="1"/>
  <c r="D54" i="1"/>
  <c r="E54" i="1" s="1"/>
  <c r="C54" i="1"/>
  <c r="D53" i="1"/>
  <c r="E53" i="1" s="1"/>
  <c r="C53" i="1"/>
  <c r="D52" i="1"/>
  <c r="E52" i="1" s="1"/>
  <c r="C52" i="1"/>
  <c r="D51" i="1"/>
  <c r="E51" i="1" s="1"/>
  <c r="C51" i="1"/>
  <c r="D50" i="1"/>
  <c r="E50" i="1" s="1"/>
  <c r="C50" i="1"/>
  <c r="D49" i="1"/>
  <c r="E49" i="1" s="1"/>
  <c r="C49" i="1"/>
  <c r="D48" i="1"/>
  <c r="E48" i="1" s="1"/>
  <c r="C48" i="1"/>
  <c r="D47" i="1"/>
  <c r="E47" i="1" s="1"/>
  <c r="C47" i="1"/>
  <c r="D46" i="1"/>
  <c r="E46" i="1" s="1"/>
  <c r="C46" i="1"/>
  <c r="D45" i="1"/>
  <c r="E45" i="1" s="1"/>
  <c r="C45" i="1"/>
  <c r="D44" i="1"/>
  <c r="E44" i="1" s="1"/>
  <c r="C44" i="1"/>
  <c r="D43" i="1"/>
  <c r="E43" i="1" s="1"/>
  <c r="C43" i="1"/>
  <c r="D42" i="1"/>
  <c r="E42" i="1" s="1"/>
  <c r="C42" i="1"/>
  <c r="D41" i="1"/>
  <c r="E41" i="1" s="1"/>
  <c r="C41" i="1"/>
  <c r="D40" i="1"/>
  <c r="E40" i="1" s="1"/>
  <c r="C40" i="1"/>
  <c r="D39" i="1"/>
  <c r="E39" i="1" s="1"/>
  <c r="C39" i="1"/>
  <c r="D38" i="1"/>
  <c r="E38" i="1" s="1"/>
  <c r="C38" i="1"/>
  <c r="D37" i="1"/>
  <c r="E37" i="1" s="1"/>
  <c r="C37" i="1"/>
  <c r="D36" i="1"/>
  <c r="E36" i="1" s="1"/>
  <c r="C36" i="1"/>
  <c r="D35" i="1"/>
  <c r="E35" i="1" s="1"/>
  <c r="C35" i="1"/>
  <c r="D34" i="1"/>
  <c r="E34" i="1" s="1"/>
  <c r="C34" i="1"/>
  <c r="D33" i="1"/>
  <c r="E33" i="1" s="1"/>
  <c r="C33" i="1"/>
  <c r="D32" i="1"/>
  <c r="E32" i="1" s="1"/>
  <c r="C32" i="1"/>
  <c r="D31" i="1"/>
  <c r="E31" i="1" s="1"/>
  <c r="C31" i="1"/>
  <c r="D30" i="1"/>
  <c r="E30" i="1" s="1"/>
  <c r="C30" i="1"/>
  <c r="D29" i="1"/>
  <c r="E29" i="1" s="1"/>
  <c r="C29" i="1"/>
  <c r="D28" i="1"/>
  <c r="E28" i="1" s="1"/>
  <c r="C28" i="1"/>
  <c r="D27" i="1"/>
  <c r="E27" i="1" s="1"/>
  <c r="C27" i="1"/>
  <c r="D26" i="1"/>
  <c r="E26" i="1" s="1"/>
  <c r="C26" i="1"/>
  <c r="D25" i="1"/>
  <c r="E25" i="1" s="1"/>
  <c r="C25" i="1"/>
  <c r="D24" i="1"/>
  <c r="E24" i="1" s="1"/>
  <c r="C24" i="1"/>
  <c r="D23" i="1"/>
  <c r="E23" i="1" s="1"/>
  <c r="C23" i="1"/>
  <c r="D22" i="1"/>
  <c r="E22" i="1" s="1"/>
  <c r="C22" i="1"/>
  <c r="D21" i="1"/>
  <c r="E21" i="1" s="1"/>
  <c r="C21" i="1"/>
  <c r="D20" i="1"/>
  <c r="E20" i="1" s="1"/>
  <c r="C20" i="1"/>
  <c r="D19" i="1"/>
  <c r="E19" i="1" s="1"/>
  <c r="C19" i="1"/>
  <c r="D18" i="1"/>
  <c r="E18" i="1" s="1"/>
  <c r="C18" i="1"/>
  <c r="D17" i="1"/>
  <c r="E17" i="1" s="1"/>
  <c r="C17" i="1"/>
  <c r="D16" i="1"/>
  <c r="E16" i="1" s="1"/>
  <c r="C16" i="1"/>
  <c r="D15" i="1"/>
  <c r="E15" i="1" s="1"/>
  <c r="C15" i="1"/>
  <c r="D14" i="1"/>
  <c r="E14" i="1" s="1"/>
  <c r="C14" i="1"/>
  <c r="D13" i="1"/>
  <c r="E13" i="1" s="1"/>
  <c r="C13" i="1"/>
  <c r="D12" i="1"/>
  <c r="E12" i="1" s="1"/>
  <c r="C12" i="1"/>
  <c r="D11" i="1"/>
  <c r="E11" i="1" s="1"/>
  <c r="C11" i="1"/>
  <c r="D10" i="1"/>
  <c r="E10" i="1" s="1"/>
  <c r="C10" i="1"/>
  <c r="D9" i="1"/>
  <c r="E9" i="1" s="1"/>
  <c r="C9" i="1"/>
  <c r="D8" i="1"/>
  <c r="E8" i="1" s="1"/>
  <c r="C8" i="1"/>
  <c r="D7" i="1"/>
  <c r="E7" i="1" s="1"/>
  <c r="C7" i="1"/>
  <c r="D6" i="1"/>
  <c r="E6" i="1" s="1"/>
  <c r="C6" i="1"/>
  <c r="D5" i="1"/>
  <c r="E5" i="1" s="1"/>
  <c r="C5" i="1"/>
  <c r="D4" i="1"/>
  <c r="E4" i="1" s="1"/>
  <c r="C4" i="1"/>
  <c r="D3" i="1"/>
  <c r="E3" i="1" s="1"/>
  <c r="C3" i="1"/>
  <c r="D2" i="1"/>
  <c r="E2" i="1" s="1"/>
  <c r="C2" i="1"/>
</calcChain>
</file>

<file path=xl/sharedStrings.xml><?xml version="1.0" encoding="utf-8"?>
<sst xmlns="http://schemas.openxmlformats.org/spreadsheetml/2006/main" count="4954" uniqueCount="2825">
  <si>
    <t>&lt;templateId root="2.16.840.1.113883.10.20.22.2.6.1" extension="2015-08-01"/&gt;</t>
  </si>
  <si>
    <t>&lt;templateId root="2.16.840.1.113883.10.20.22.4.119"/&gt;</t>
  </si>
  <si>
    <t>&lt;templateId root="2.16.840.1.113883.10.20.22.4.7" extension="2014-06-09" /&gt;</t>
  </si>
  <si>
    <t>&lt;templateId root="2.16.840.1.113883.10.20.24.3.90" extension="2014-06-09" /&gt;</t>
  </si>
  <si>
    <t>&lt;templateId root="2.16.840.1.113883.10.20.22.2.58" extension="2015-08-01"/&gt;</t>
  </si>
  <si>
    <t>&lt;templateId root="2.16.840.1.113883.10.20.22.1.1" extension="2024-05-01"/&gt;</t>
  </si>
  <si>
    <t>&lt;templateId root="2.16.840.1.113883.10.20.22.2.5.1" extension="2015-08-01"/&gt;</t>
  </si>
  <si>
    <t>&lt;templateId root="2.16.840.1.113883.10.20.22.2.1.1" extension="2014-06-09"/&gt;</t>
  </si>
  <si>
    <t>&lt;templateId root="1.3.6.1.4.1.19376.1.5.3.1.3.4"/&gt;</t>
  </si>
  <si>
    <t>&lt;templateId root="2.16.840.1.113883.10.20.22.2.3.1" extension="2015-08-01"/&gt;</t>
  </si>
  <si>
    <t>&lt;templateId root="2.16.840.1.113883.10.20.2.10" extension="2015-08-01" /&gt;</t>
  </si>
  <si>
    <t>&lt;templateId root="2.16.840.1.113883.10.20.22.4.69" extension="2022-06-01"/&gt;</t>
  </si>
  <si>
    <t>&lt;templateId root="2.16.840.1.113883.10.20.22.4.86" extension="2022-06-01"/&gt;</t>
  </si>
  <si>
    <t>&lt;templateId root="1.3.6.1.4.1.19376.1.5.3.1.3.5"/&gt;</t>
  </si>
  <si>
    <t>&lt;templateId root="2.16.840.1.113883.10.20.22.2.24" extension="2015-08-01" /&gt;</t>
  </si>
  <si>
    <t>&lt;templateId root="2.16.840.1.113883.10.20.22.2.10" extension="2014-06-09" /&gt;</t>
  </si>
  <si>
    <t>&lt;templateId root="2.16.840.1.113883.10.20.22.2.42"/&gt;</t>
  </si>
  <si>
    <t>&lt;templateId root="2.16.840.1.113883.10.20.22.2.11.1" extension="2015-08-01" /&gt;</t>
  </si>
  <si>
    <t>&lt;templateId root="2.16.840.1.113883.10.20.22.2.7.1" extension="2014-06-09" /&gt;</t>
  </si>
  <si>
    <t>&lt;templateId root="2.16.840.1.113883.10.20.22.2.4.1" extension="2015-08-01"/&gt;</t>
  </si>
  <si>
    <t>&lt;templateId root="2.16.840.1.113883.10.20.22.2.17" extension="2015-08-01"/&gt;</t>
  </si>
  <si>
    <t>&lt;templateId root="2.16.840.1.113883.10.20.22.2.15" extension="2015-08-01" /&gt;</t>
  </si>
  <si>
    <t>&lt;templateId root="2.16.840.1.113883.10.20.22.2.20" extension="2015-08-01" /&gt;</t>
  </si>
  <si>
    <t>&lt;templateId root="2.16.840.1.113883.10.20.2.5" /&gt;</t>
  </si>
  <si>
    <t>&lt;templateId root="2.16.840.1.113883.10.20.22.2.25" extension="2014-06-09" /&gt;</t>
  </si>
  <si>
    <t>&lt;templateId root="2.16.840.1.113883.10.20.22.2.37" extension="2015-08-01" /&gt;</t>
  </si>
  <si>
    <t>&lt;templateId root="2.16.840.1.113883.10.20.22.2.34" extension="2015-08-01" /&gt;</t>
  </si>
  <si>
    <t>&lt;templateId root="2.16.840.1.113883.10.20.18.2.9"/&gt;</t>
  </si>
  <si>
    <t>&lt;templateId root="2.16.840.1.113883.10.20.22.2.28" extension="2015-08-01" /&gt;</t>
  </si>
  <si>
    <t>&lt;templateId root="2.16.840.1.113883.10.20.22.2.31"/&gt;</t>
  </si>
  <si>
    <t>&lt;templateId root="2.16.840.1.113883.10.20.22.2.27"/&gt;</t>
  </si>
  <si>
    <t>&lt;templateId root="2.16.840.1.113883.10.20.22.2.35"/&gt;</t>
  </si>
  <si>
    <t>&lt;templateId root="2.16.840.1.113883.10.20.22.4.121" extension="2022-06-01"/&gt;</t>
  </si>
  <si>
    <t>&lt;templateId root="2.16.840.1.113883.10.20.22.2.29" extension="2014-06-09" /&gt;</t>
  </si>
  <si>
    <t>&lt;templateId root="2.16.840.1.113883.10.20.22.2.36" extension="2015-08-01" /&gt;</t>
  </si>
  <si>
    <t>&lt;templateId root="2.16.840.1.113883.10.20.22.2.9" extension="2014-06-09" /&gt;</t>
  </si>
  <si>
    <t>&lt;templateId root="1.3.6.1.4.1.19376.1.5.3.1.3.1" extension="2014-06-09" /&gt;</t>
  </si>
  <si>
    <t>&lt;templateId root="2.16.840.1.113883.10.20.22.2.8"/&gt;</t>
  </si>
  <si>
    <t>&lt;templateId root="2.16.840.1.113883.10.20.22.2.14" extension="2014-06-09" /&gt;</t>
  </si>
  <si>
    <t>&lt;templateId root="2.16.840.1.113883.10.20.22.2.56" extension="2015-08-01" /&gt;</t>
  </si>
  <si>
    <t>&lt;templateId root="2.16.840.1.113883.10.20.22.2.57" /&gt;</t>
  </si>
  <si>
    <t xml:space="preserve">	&lt;templateId root="2.16.840.1.113883.10.20.22.4.7" extension="2014-06-09"/&gt;</t>
  </si>
  <si>
    <t xml:space="preserve">	&lt;templateId root="2.16.840.1.113883.10.20.24.3.90" extension="2014-06-09"/&gt;</t>
  </si>
  <si>
    <t xml:space="preserve">			&lt;templateId root="2.16.840.1.113883.10.20.22.4.9" extension="2014-06-09"/&gt;</t>
  </si>
  <si>
    <t xml:space="preserve">					&lt;templateId root="2.16.840.1.113883.10.20.22.4.8" extension="2014-06-09"/&gt;</t>
  </si>
  <si>
    <t xml:space="preserve">	&lt;templateId root="2.16.840.1.113883.10.20.22.2.6.1" extension="2015-08-01"/&gt;</t>
  </si>
  <si>
    <t xml:space="preserve">			&lt;templateId root="2.16.840.1.113883.10.20.22.4.30" extension="2015-08-01"/&gt;</t>
  </si>
  <si>
    <t xml:space="preserve">				&lt;templateId root="2.16.840.1.113883.10.20.22.4.119"/&gt;</t>
  </si>
  <si>
    <t xml:space="preserve">					&lt;templateId root="2.16.840.1.113883.10.20.22.4.7" extension="2014-06-09" /&gt;</t>
  </si>
  <si>
    <t xml:space="preserve">					&lt;templateId root="2.16.840.1.113883.10.20.24.3.90" extension="2014-06-09" /&gt;</t>
  </si>
  <si>
    <t xml:space="preserve">						&lt;templateId root="2.16.840.1.113883.10.20.22.4.119"/&gt;</t>
  </si>
  <si>
    <t xml:space="preserve">							&lt;templateId root="2.16.840.1.113883.10.20.22.4.9" extension="2014-06-09"/&gt;</t>
  </si>
  <si>
    <t xml:space="preserve">									&lt;templateId root="2.16.840.1.113883.10.20.22.4.8" extension="2014-06-09"/&gt;</t>
  </si>
  <si>
    <t xml:space="preserve">	&lt;templateId root="2.16.840.1.113883.10.20.22.1.15" extension="2024-05-01"/&gt;</t>
  </si>
  <si>
    <t xml:space="preserve">					&lt;templateId root="2.16.840.1.113883.10.20.22.2.58" extension="2015-08-01"/&gt;</t>
  </si>
  <si>
    <t xml:space="preserve">					&lt;templateId root="2.16.840.1.113883.10.20.22.2.60"/&gt;</t>
  </si>
  <si>
    <t xml:space="preserve">					&lt;templateId root="2.16.840.1.113883.10.20.22.2.61" /&gt;</t>
  </si>
  <si>
    <t xml:space="preserve">	&lt;templateId root="2.16.840.1.113883.10.20.22.4.500.3" extension="2022-06-01"/&gt;</t>
  </si>
  <si>
    <t xml:space="preserve">	&lt;templateId root="2.16.840.1.113883.10.20.22.4.500" extension="2022-06-01"/&gt;</t>
  </si>
  <si>
    <t xml:space="preserve">			&lt;templateId root="2.16.840.1.113883.10.20.22.4.500.1" extension="2024-05-01"/&gt;</t>
  </si>
  <si>
    <t xml:space="preserve">	&lt;templateId root="2.16.840.1.113883.10.20.22.1.1" extension="2024-05-01"/&gt;</t>
  </si>
  <si>
    <t xml:space="preserve">	&lt;templateId root="2.16.840.1.113883.10.20.22.1.4" extension="2024-05-01"/&gt;</t>
  </si>
  <si>
    <t xml:space="preserve">					&lt;templateId root="2.16.840.1.113883.10.20.22.2.6.1" extension="2015-08-01"/&gt;</t>
  </si>
  <si>
    <t xml:space="preserve">					&lt;templateId root="2.16.840.1.113883.10.20.22.2.5.1" extension="2015-08-01"/&gt;</t>
  </si>
  <si>
    <t xml:space="preserve">					&lt;templateId root="2.16.840.1.113883.10.20.22.2.1.1" extension="2014-06-09"/&gt;</t>
  </si>
  <si>
    <t xml:space="preserve">					&lt;templateId root="2.16.840.1.113883.10.20.22.2.9" extension="2014-06-09"/&gt;</t>
  </si>
  <si>
    <t xml:space="preserve">					&lt;templateId root="1.3.6.1.4.1.19376.1.5.3.1.3.4"/&gt;</t>
  </si>
  <si>
    <t xml:space="preserve">					&lt;templateId root="2.16.840.1.113883.10.20.22.2.3.1" extension="2015-08-01"/&gt;</t>
  </si>
  <si>
    <t xml:space="preserve">					&lt;templateId root="2.16.840.1.113883.10.20.22.2.12" /&gt;</t>
  </si>
  <si>
    <t xml:space="preserve">					&lt;templateId root="2.16.840.1.113883.10.20.2.10" extension="2015-08-01" /&gt;</t>
  </si>
  <si>
    <t xml:space="preserve">	&lt;templateId root="2.16.840.1.113883.10.20.22.4.502" extension="2022-06-01"/&gt;</t>
  </si>
  <si>
    <t xml:space="preserve">	&lt;templateId root="2.16.840.1.113883.10.20.22.4.505" extension="2023-05-01"/&gt;</t>
  </si>
  <si>
    <t xml:space="preserve">			&lt;templateId root="2.16.840.1.113883.10.20.22.4.69" extension="2022-06-01"/&gt;</t>
  </si>
  <si>
    <t xml:space="preserve">					&lt;templateId root="2.16.840.1.113883.10.20.22.4.86" extension="2022-06-01"/&gt;</t>
  </si>
  <si>
    <t xml:space="preserve">	&lt;templateId root="2.16.840.1.113883.10.20.22.1.8" extension="2024-05-01"/&gt;</t>
  </si>
  <si>
    <t xml:space="preserve">					&lt;templateId root="1.3.6.1.4.1.19376.1.5.3.1.3.5"/&gt;</t>
  </si>
  <si>
    <t xml:space="preserve">					&lt;templateId root="2.16.840.1.113883.10.20.22.2.24" extension="2015-08-01" /&gt;</t>
  </si>
  <si>
    <t xml:space="preserve">					&lt;templateId root="2.16.840.1.113883.10.20.22.2.10" extension="2014-06-09" /&gt;</t>
  </si>
  <si>
    <t xml:space="preserve">					&lt;templateId root="2.16.840.1.113883.10.20.22.2.42"/&gt;</t>
  </si>
  <si>
    <t xml:space="preserve">					&lt;templateId root="2.16.840.1.113883.10.20.22.2.11.1" extension="2015-08-01" /&gt;</t>
  </si>
  <si>
    <t xml:space="preserve">					&lt;templateId root="2.16.840.1.113883.10.20.22.2.7.1" extension="2014-06-09" /&gt;</t>
  </si>
  <si>
    <t xml:space="preserve">	&lt;templateId root="2.16.840.1.113883.10.20.22.1.3" extension="2024-05-01"/&gt;</t>
  </si>
  <si>
    <t xml:space="preserve">					&lt;templateId root="2.16.840.1.113883.10.20.22.2.4.1" extension="2015-08-01"/&gt;</t>
  </si>
  <si>
    <t xml:space="preserve">					&lt;templateId root="2.16.840.1.113883.10.20.22.2.17" extension="2015-08-01"/&gt;</t>
  </si>
  <si>
    <t xml:space="preserve">					&lt;templateId root="2.16.840.1.113883.10.20.22.2.15" extension="2015-08-01" /&gt;</t>
  </si>
  <si>
    <t xml:space="preserve">					&lt;templateId root="2.16.840.1.113883.10.20.22.2.20" extension="2015-08-01" /&gt;</t>
  </si>
  <si>
    <t xml:space="preserve">					&lt;templateId root="2.16.840.1.113883.10.20.2.5" /&gt;</t>
  </si>
  <si>
    <t xml:space="preserve">					&lt;templateId root="1.3.6.1.4.1.19376.1.5.3.1.3.18" /&gt;</t>
  </si>
  <si>
    <t xml:space="preserve">	&lt;templateId root="2.16.840.1.113883.10.20.22.1.7" extension="2024-05-01"/&gt;</t>
  </si>
  <si>
    <t xml:space="preserve">					&lt;templateId root="2.16.840.1.113883.10.20.22.2.25" extension="2014-06-09" /&gt;</t>
  </si>
  <si>
    <t xml:space="preserve">					&lt;templateId root="2.16.840.1.113883.10.20.22.2.37" extension="2015-08-01" /&gt;</t>
  </si>
  <si>
    <t xml:space="preserve">					&lt;templateId root="2.16.840.1.113883.10.20.22.2.34" extension="2015-08-01" /&gt;</t>
  </si>
  <si>
    <t xml:space="preserve">					&lt;templateId root="2.16.840.1.113883.10.20.18.2.9"/&gt;</t>
  </si>
  <si>
    <t xml:space="preserve">					&lt;templateId root="2.16.840.1.113883.10.20.22.2.28" extension="2015-08-01" /&gt;</t>
  </si>
  <si>
    <t xml:space="preserve">					&lt;templateId root="2.16.840.1.113883.10.20.22.2.31"/&gt;</t>
  </si>
  <si>
    <t xml:space="preserve">					&lt;templateId root="2.16.840.1.113883.10.20.22.2.27"/&gt;</t>
  </si>
  <si>
    <t xml:space="preserve">					&lt;templateId root="2.16.840.1.113883.10.20.22.2.35"/&gt;</t>
  </si>
  <si>
    <t xml:space="preserve">			&lt;templateId root="2.16.840.1.113883.10.20.22.2.61"/&gt;</t>
  </si>
  <si>
    <t xml:space="preserve">					&lt;templateId root="2.16.840.1.113883.10.20.22.4.144"/&gt;</t>
  </si>
  <si>
    <t xml:space="preserve">							&lt;templateId root="2.16.840.1.113883.10.20.22.4.122"/&gt;</t>
  </si>
  <si>
    <t xml:space="preserve">					&lt;templateId root="2.16.840.1.113883.10.20.22.4.121" extension="2022-06-01"/&gt;</t>
  </si>
  <si>
    <t xml:space="preserve">	&lt;templateId root="2.16.840.1.113883.10.20.22.1.6" extension="2024-05-01"/&gt;</t>
  </si>
  <si>
    <t xml:space="preserve">					&lt;templateId root="2.16.840.1.113883.10.20.22.2.29" extension="2014-06-09" /&gt;</t>
  </si>
  <si>
    <t xml:space="preserve">					&lt;templateId root="2.16.840.1.113883.10.20.22.2.36" extension="2015-08-01" /&gt;</t>
  </si>
  <si>
    <t xml:space="preserve">					&lt;templateId root="2.16.840.1.113883.10.20.22.2.9" extension="2014-06-09" /&gt;</t>
  </si>
  <si>
    <t xml:space="preserve">	&lt;templateId root="2.16.840.1.113883.10.20.22.1.9" extension="2024-05-01"/&gt;</t>
  </si>
  <si>
    <t xml:space="preserve">			&lt;templateId root="2.16.840.1.113883.10.20.21.3.1"/&gt;</t>
  </si>
  <si>
    <t xml:space="preserve">	&lt;templateId root="2.16.840.1.113883.10.20.24.3.88" extension="2023-05-01"/&gt;</t>
  </si>
  <si>
    <t xml:space="preserve">	&lt;templateId root="2.16.840.1.113883.10.20.22.1.14" extension="2024-05-01" /&gt;</t>
  </si>
  <si>
    <t xml:space="preserve">					&lt;templateId root="1.3.6.1.4.1.19376.1.5.3.1.3.1" extension="2014-06-09" /&gt;</t>
  </si>
  <si>
    <t xml:space="preserve">					&lt;templateId root="2.16.840.1.113883.10.20.22.2.8"/&gt;</t>
  </si>
  <si>
    <t xml:space="preserve">					&lt;templateId root="2.16.840.1.113883.10.20.22.2.14" extension="2014-06-09" /&gt;</t>
  </si>
  <si>
    <t xml:space="preserve">					&lt;templateId root="2.16.840.1.113883.10.20.22.2.56" extension="2015-08-01" /&gt;</t>
  </si>
  <si>
    <t xml:space="preserve">					&lt;templateId root="2.16.840.1.113883.10.20.22.2.57" /&gt;</t>
  </si>
  <si>
    <t xml:space="preserve">		&lt;templateId root="2.16.840.1.113883.10.20.22.4.119"/&gt;</t>
  </si>
  <si>
    <t>&lt;templateId root="2.16.840.1.113883.10.20.22.2.43" extension="2015-08-01"/&gt;</t>
  </si>
  <si>
    <t>&lt;templateId root="2.16.840.1.113883.10.20.22.4.34" extension="2015-08-01" /&gt;</t>
  </si>
  <si>
    <t>&lt;templateId root="2.16.840.1.113883.10.20.22.4.4" extension="2024-05-01" /&gt;</t>
  </si>
  <si>
    <t>&lt;templateId root="2.16.840.1.113883.10.20.22.4.36" extension="2014-06-09" /&gt;</t>
  </si>
  <si>
    <t>&lt;templateId root="2.16.840.1.113883.10.20.22.4.16"</t>
  </si>
  <si>
    <t>&lt;templateId root="2.16.840.1.113883.10.20.22.4.23"</t>
  </si>
  <si>
    <t>&lt;templateId root="2.16.840.1.113883.10.20.22.4.513"</t>
  </si>
  <si>
    <t>&lt;templateId root="2.16.840.1.113883.10.20.22.5.6" extension="2019-10-01"/&gt;</t>
  </si>
  <si>
    <t>&lt;templateId root="2.16.840.1.113883.10.20.22.4.48"</t>
  </si>
  <si>
    <t>&lt;templateId root="2.16.840.1.113883.10.20.22.4.119" /&gt;</t>
  </si>
  <si>
    <t>&lt;templateId root="2.16.840.1.113883.10.20.1.58" /&gt;</t>
  </si>
  <si>
    <t>&lt;templateId root="2.16.840.1.113883.10.20.22.2.21.1" extension="2022-02-14" /&gt;</t>
  </si>
  <si>
    <t xml:space="preserve">		 &lt;templateId root="2.16.840.1.113883.10.20.22.4.513"</t>
  </si>
  <si>
    <t xml:space="preserve">		 &lt;templateId root="2.16.840.1.113883.10.20.22.5.6" extension="2019-10-01"/&gt;</t>
  </si>
  <si>
    <t>&lt;templateId root="2.16.840.1.113883.10.20.22.4.31" /&gt;</t>
  </si>
  <si>
    <t>&lt;templateId root="2.16.840.1.113883.10.20.22.2.6.1" extension="2015-08-01" /&gt;</t>
  </si>
  <si>
    <t xml:space="preserve">		 &lt;templateId root="2.16.840.1.113883.10.20.22.4.30" extension="2015-08-01" /&gt;</t>
  </si>
  <si>
    <t xml:space="preserve">		 &lt;templateId root="2.16.840.1.113883.10.20.22.4.119" /&gt;</t>
  </si>
  <si>
    <t xml:space="preserve">		 &lt;templateId root="2.16.840.1.113883.10.20.22.4.7" extension="2014-06-09" /&gt;</t>
  </si>
  <si>
    <t xml:space="preserve">		 &lt;templateId root="2.16.840.1.113883.10.20.24.3.90" extension="2014-06-09" /&gt;</t>
  </si>
  <si>
    <t>&lt;templateId root="2.16.840.1.113883.10.20.22.4.30" extension="2015-08-01" /&gt;</t>
  </si>
  <si>
    <t>&lt;templateId root="2.16.840.1.113883.10.20.22.4.9" extension="2014-06-09" /&gt;</t>
  </si>
  <si>
    <t>&lt;templateId root="2.16.840.1.113883.10.20.22.4.8" extension="2014-06-09" /&gt;</t>
  </si>
  <si>
    <t>&lt;templateId root="2.16.840.1.113883.10.20.22.4.145"/&gt;</t>
  </si>
  <si>
    <t>&lt;templateId root="2.16.840.1.113883.10.20.22.4.14" extension="2014-06-09" /&gt;</t>
  </si>
  <si>
    <t>&lt;templateId root="2.16.840.1.113883.10.20.22.4.16" extension="2014-06-09" /&gt;</t>
  </si>
  <si>
    <t>&lt;templateId root="2.16.840.1.113883.10.20.22.4.41" extension="2022-06-01"/&gt;</t>
  </si>
  <si>
    <t>&lt;templateId root="2.16.840.1.113883.10.20.1.19"/&gt;</t>
  </si>
  <si>
    <t>&lt;templateId root="2.16.840.1.113883.10.20.22.4.512" extension="2024-05-01" /&gt;</t>
  </si>
  <si>
    <t>&lt;templateId root="2.16.840.1.113883.10.20.22.4.27" extension="2014-06-09" /&gt;</t>
  </si>
  <si>
    <t>&lt;templateId root="2.16.840.1.113883.10.20.22.4.38" extension="2022-06-01"/&gt;</t>
  </si>
  <si>
    <t>&lt;templateId root="2.16.840.1.113883.10.20.22.4.504" extension="2023-05-01"/&gt;</t>
  </si>
  <si>
    <t>&lt;templateId root="2.16.840.1.113883.10.20.22.4.503" extension="2023-05-01"/&gt;</t>
  </si>
  <si>
    <t>&lt;templateId root="2.16.840.1.113883.10.20.22.4.200" extension="2024-05-01"/&gt;</t>
  </si>
  <si>
    <t>&lt;templateId root="2.16.840.1.113883.10.20.22.4.301" extension="2019-06-21"/&gt;</t>
  </si>
  <si>
    <t>&lt;templateId root="2.16.840.1.113883.10.20.22.4.500.1" extension="2024-05-01" /&gt;</t>
  </si>
  <si>
    <t>&lt;templateId root="2.16.840.1.113883.10.20.22.4.49" extension="2015-08-01" /&gt;</t>
  </si>
  <si>
    <t>&lt;templateId root="2.16.840.1.113883.10.20.22.4.500.2" extension="2019-07-01"/&gt;</t>
  </si>
  <si>
    <t>&lt;templateId root="2.16.840.1.113883.10.20.22.2.500" extension="2022-06-01"/&gt;</t>
  </si>
  <si>
    <t>&lt;templateId root="2.16.840.1.113883.10.20.22.4.72"/&gt;</t>
  </si>
  <si>
    <t>&lt;templateId root="2.16.840.1.113883.10.20.22.4.302" extension="2019-06-21"/&gt;</t>
  </si>
  <si>
    <t>&lt;templateId root="2.16.840.1.113883.10.20.22.1.2" extension="2024-05-01"/&gt;</t>
  </si>
  <si>
    <t>&lt;templateId root="2.16.840.1.113883.10.20.22.5.8" extension="2023-05-01"/&gt;</t>
  </si>
  <si>
    <t>&lt;templateId root="2.16.840.1.113883.10.20.22.2.22.1" extension="2015-08-01"/&gt;</t>
  </si>
  <si>
    <t>&lt;templateId root="2.16.840.1.113883.10.20.22.4.109" /&gt;</t>
  </si>
  <si>
    <t>&lt;templateId root="2.16.840.1.113883.10.20.22.2.13"/&gt;</t>
  </si>
  <si>
    <t>&lt;templateId root="1.3.6.1.4.1.19376.1.5.3.1.1.13.2.1"/&gt;</t>
  </si>
  <si>
    <t>&lt;templateId root="2.16.840.1.113883.10.20.6.2.13"/&gt;</t>
  </si>
  <si>
    <t>&lt;templateId root="2.16.840.1.113883.10.20.22.4.64"/&gt;</t>
  </si>
  <si>
    <t>&lt;templateId root="2.16.840.1.113883.10.20.22.4.303" extension="2019-06-21"/&gt;</t>
  </si>
  <si>
    <t>&lt;templateId root="2.16.840.1.113883.10.20.22.2.64"/&gt;</t>
  </si>
  <si>
    <t>&lt;templateId root="2.16.840.1.113883.10.20.22.4.60" extension="2024-05-01" /&gt;</t>
  </si>
  <si>
    <t>&lt;templateId root="2.16.840.1.113883.10.20.22.4.61" extension="2024-05-01" /&gt;</t>
  </si>
  <si>
    <t>&lt;templateId root="2.16.840.1.113883.10.20.22.4.87"/&gt;</t>
  </si>
  <si>
    <t>&lt;templateId root="2.16.840.1.113883.10.20.22.4.89"/&gt;</t>
  </si>
  <si>
    <t>&lt;templateId root="2.16.840.1.113883.10.20.22.4.111" /&gt;</t>
  </si>
  <si>
    <t>&lt;templateId root="2.16.840.1.113883.10.20.22.4.79" extension="2015-08-01" /&gt;</t>
  </si>
  <si>
    <t>&lt;templateId root="2.16.840.1.113883.10.20.22.4.304" extension="2022-06-01"/&gt;</t>
  </si>
  <si>
    <t>&lt;templateId root="2.16.840.1.113883.10.20.22.4.122" /&gt;</t>
  </si>
  <si>
    <t>&lt;templateId root="2.16.840.1.113883.10.20.22.4.33" extension="2014-06-09" /&gt;</t>
  </si>
  <si>
    <t>&lt;templateId root="2.16.840.1.113883.10.20.22.4.33" extension="2015-08-01"/&gt;</t>
  </si>
  <si>
    <t>&lt;templateId root="2.16.840.1.113883.10.20.22.4.35" extension="2016-03-01" /&gt;</t>
  </si>
  <si>
    <t>&lt;templateId root="2.16.840.1.113883.10.20.22.4.308" extension="2019-06-21"/&gt;</t>
  </si>
  <si>
    <t>&lt;templateId root="2.16.840.1.113883.10.20.22.4.123" /&gt;</t>
  </si>
  <si>
    <t>&lt;templateId root="2.16.840.1.113883.10.20.22.4.24"/&gt;</t>
  </si>
  <si>
    <t>&lt;templateId root="2.16.840.1.113883.10.20.22.4.32" /&gt;</t>
  </si>
  <si>
    <t>&lt;templateId root="2.16.840.1.113883.10.20.22.4.19" extension="2014-06-09" /&gt;</t>
  </si>
  <si>
    <t>&lt;templateId root="2.16.840.1.113883.10.20.22.4.80" extension="2024-05-01" /&gt;</t>
  </si>
  <si>
    <t>&lt;templateId root="2.16.840.1.113883.10.20.22.2.22.1" extension="2015-08-01" /&gt;</t>
  </si>
  <si>
    <t xml:space="preserve">		 &lt;templateId root="2.16.840.1.113883.10.20.22.4.49" extension="2015-08-01" /&gt;</t>
  </si>
  <si>
    <t>&lt;templateId root="2.16.840.1.113883.10.20.22.4.132" extension="2022-06-01"/&gt;</t>
  </si>
  <si>
    <t>&lt;templateId root="2.16.840.1.113883.10.20.15.3.1"/&gt;</t>
  </si>
  <si>
    <t>&lt;templateId root="2.16.840.1.113883.10.20.22.4.115"</t>
  </si>
  <si>
    <t>&lt;templateId root="2.16.840.1.113883.10.20.22.4.47"/&gt;</t>
  </si>
  <si>
    <t>&lt;templateId root="2.16.840.1.113883.10.20.22.4.46" extension="2015-08-01" /&gt;</t>
  </si>
  <si>
    <t>&lt;templateId root="2.16.840.1.113883.10.20.22.4.45" extension="2026-05-01" /&gt;</t>
  </si>
  <si>
    <t>&lt;templateId root="2.16.840.1.113883.10.20.22.4.45" /&gt;</t>
  </si>
  <si>
    <t>&lt;templateId root="2.16.840.1.113883.10.20.22.4.67" extension="2014-06-09" /&gt;</t>
  </si>
  <si>
    <t>&lt;templateId root="2.16.840.1.113883.10.20.22.4.66" extension="2014-06-09" /&gt;</t>
  </si>
  <si>
    <t>&lt;templateId root="2.16.840.1.113883.10.20.22.4.128" /&gt;</t>
  </si>
  <si>
    <t>&lt;templateId root="2.16.840.1.113883.10.20.22.4.127" /&gt;</t>
  </si>
  <si>
    <t>&lt;templateId root="2.16.840.1.113883.10.20.22.4.72" /&gt;</t>
  </si>
  <si>
    <t>&lt;templateId root="2.16.840.1.113883.10.20.34.3.45" extension="2023-05-01" /&gt;</t>
  </si>
  <si>
    <t>&lt;templateId root="2.16.840.1.113883.10.20.22.4.143" /&gt;</t>
  </si>
  <si>
    <t>&lt;templateId root="2.16.840.1.113883.10.20.22.2.60" /&gt;</t>
  </si>
  <si>
    <t xml:space="preserve">		 &lt;templateId root="2.16.840.1.113883.10.20.22.4.121" extension="2022-06-01"/&gt;</t>
  </si>
  <si>
    <t xml:space="preserve">		 &lt;templateId root="2.16.840.1.113883.10.20.22.4.122" /&gt;</t>
  </si>
  <si>
    <t>&lt;templateId root="2.16.840.1.113883.10.20.22.4.141" /&gt;</t>
  </si>
  <si>
    <t>&lt;templateId root="2.16.840.1.113883.10.20.22.4.132" extension="2022-06-01" /&gt;</t>
  </si>
  <si>
    <t xml:space="preserve">		 &lt;templateId root="2.16.840.1.113883.10.20.22.4.85" extension="2014-06-09" /&gt;</t>
  </si>
  <si>
    <t xml:space="preserve">		 &lt;templateId root="2.16.840.1.113883.10.20.22.4.5" extension="2014-06-09"/&gt;</t>
  </si>
  <si>
    <t xml:space="preserve">		 &lt;templateId root="2.16.840.1.113883.10.20.22.4.132" extension="2022-06-01" /&gt;</t>
  </si>
  <si>
    <t xml:space="preserve">				 &lt;templateId root="2.16.840.1.113883.10.20.22.4.85" extension="2014-06-09" /&gt;</t>
  </si>
  <si>
    <t>&lt;templateId root="2.16.840.1.113883.10.20.22.4.5" extension="2014-06-09"/&gt;</t>
  </si>
  <si>
    <t>&lt;templateId root="2.16.840.1.113883.10.20.22.4.77"/&gt;</t>
  </si>
  <si>
    <t xml:space="preserve">		 &lt;templateId root="2.16.840.1.113883.10.20.22.4.4" extension="2024-05-01" /&gt;</t>
  </si>
  <si>
    <t>&lt;templateId root="2.16.840.1.113883.10.20.22.2.41"/&gt;</t>
  </si>
  <si>
    <t>&lt;templateId root="1.3.6.1.4.1.19376.1.5.3.1.3.26"/&gt;</t>
  </si>
  <si>
    <t>&lt;templateId root="2.16.840.1.113883.10.20.22.2.16"/&gt;</t>
  </si>
  <si>
    <t>&lt;templateId root="2.16.840.1.113883.10.20.22.4.52" extension="2015-08-01" /&gt;</t>
  </si>
  <si>
    <t>&lt;templateId root="2.16.840.1.113883.10.20.22.4.54" extension="2014-06-09" /&gt;</t>
  </si>
  <si>
    <t>&lt;templateId root="2.16.840.1.113883.10.20.22.4.53" extension="2024-05-01"/&gt;</t>
  </si>
  <si>
    <t>&lt;templateId root="2.16.840.1.113883.10.20.22.2.2.1" extension="2015-08-01" /&gt;</t>
  </si>
  <si>
    <t xml:space="preserve">		 &lt;templateId root="2.16.840.1.113883.10.20.22.4.52" extension="2015-08-01" /&gt;</t>
  </si>
  <si>
    <t xml:space="preserve">		 &lt;templateId root="2.16.840.1.113883.10.20.22.4.54" extension="2014-06-09" /&gt;</t>
  </si>
  <si>
    <t>&lt;templateId root="2.16.840.1.113883.10.20.22.4.305" extension="2019-06-21"/&gt;</t>
  </si>
  <si>
    <t>&lt;templateId root="2.16.840.1.113883.10.20.22.4.23" extension="2014-06-09" /&gt;</t>
  </si>
  <si>
    <t>&lt;templateId root="2.16.840.1.113883.10.20.22.4.19" extension="2023-05-01" /&gt;</t>
  </si>
  <si>
    <t>&lt;templateId root="2.16.840.1.113883.10.20.22.4.4"/&gt;</t>
  </si>
  <si>
    <t>&lt;templateId root="2.16.840.1.113883.10.20.22.4.515" extension="2025-05-01" /&gt;</t>
  </si>
  <si>
    <t>&lt;templateId root="2.16.840.1.113883.10.20.22.2.45" extension="2014-06-09" /&gt;</t>
  </si>
  <si>
    <t>&lt;templateId root="2.16.840.1.113883.10.20.22.4.20" extension="2014-06-09" /&gt;</t>
  </si>
  <si>
    <t>&lt;templateId root="2.16.840.1.113883.10.20.22.4.131" extension="2015-08-01" /&gt;</t>
  </si>
  <si>
    <t>&lt;templateId root="2.16.840.1.113883.10.20.22.4.14" extension="2024-05-01" /&gt;</t>
  </si>
  <si>
    <t>&lt;templateId root="2.16.840.1.113883.10.20.22.4.121" extension="2022-06-01" /&gt;</t>
  </si>
  <si>
    <t>&lt;templateId root="2.16.840.1.113883.10.20.22.4.314"</t>
  </si>
  <si>
    <t>&lt;templateId root="2.16.840.1.113883.10.20.22.4.114" extension="2015-08-01" /&gt;</t>
  </si>
  <si>
    <t>&lt;templateId root="2.16.840.1.113883.10.20.22.4.315" extension="2019-06-21"/&gt;</t>
  </si>
  <si>
    <t>&lt;templateId root="2.16.840.1.113883.10.20.22.4.316" extension="2019-06-21"/&gt;</t>
  </si>
  <si>
    <t>&lt;templateId root="2.16.840.1.113883.10.20.22.4.135" /&gt;</t>
  </si>
  <si>
    <t>&lt;templateId root="2.16.840.1.113883.10.20.22.4.50" extension="2014-06-09" /&gt;</t>
  </si>
  <si>
    <t>&lt;templateId root="2.16.840.1.113883.10.20.22.2.23" extension="2014-06-09" /&gt;</t>
  </si>
  <si>
    <t>&lt;templateId root="2.16.840.1.113883.10.20.22.4.37" /&gt;</t>
  </si>
  <si>
    <t>&lt;templateId root="2.16.840.1.113883.10.20.22.4.19"</t>
  </si>
  <si>
    <t>&lt;templateId root="2.16.840.1.113883.10.20.22.4.508" extension="2023-05-01"/&gt;</t>
  </si>
  <si>
    <t>&lt;templateId root="2.16.840.1.113883.10.20.22.4.18" extension="2023-05-01" /&gt;</t>
  </si>
  <si>
    <t xml:space="preserve">		 &lt;templateId root="2.16.840.1.113883.10.20.22.4.23" extension="2014-06-09" /&gt;</t>
  </si>
  <si>
    <t>&lt;templateId root="2.16.840.1.113883.10.20.22.4.147"/&gt;</t>
  </si>
  <si>
    <t>&lt;templateId root="2.16.840.1.113883.10.20.22.4.17" extension="2014-06-09" /&gt;</t>
  </si>
  <si>
    <t xml:space="preserve">		 &lt;templateId root="2.16.840.1.113883.10.20.22.4.515" extension="2025-05-01" /&gt;</t>
  </si>
  <si>
    <t>&lt;templateId root="2.16.840.1.113883.10.20.22.2.38" extension="2014-06-09" /&gt;</t>
  </si>
  <si>
    <t>&lt;templateId root="2.16.840.1.113883.10.20.22.2.1.1" extension="2014-06-09" /&gt;</t>
  </si>
  <si>
    <t xml:space="preserve">		 &lt;templateId root="2.16.840.1.113883.10.20.22.4.16"</t>
  </si>
  <si>
    <t xml:space="preserve">		 &lt;templateId root="2.16.840.1.113883.10.20.22.4.23"</t>
  </si>
  <si>
    <t xml:space="preserve">		 &lt;templateId root="2.16.840.1.113883.10.20.22.4.19"</t>
  </si>
  <si>
    <t>&lt;templateId root="2.16.840.1.113883.10.20.22.4.74" extension="2024-05-01" /&gt;</t>
  </si>
  <si>
    <t>&lt;templateId root="2.16.840.1.113883.10.20.22.4.75" extension="2024-05-01" /&gt;</t>
  </si>
  <si>
    <t>&lt;templateId root="2.16.840.1.113883.10.20.22.4.317" extension="2019-06-21"/&gt;</t>
  </si>
  <si>
    <t>&lt;templateId root="2.16.840.1.113883.10.20.22.4.318" extension="2019-06-21"/&gt;</t>
  </si>
  <si>
    <t>&lt;templateId root="2.16.840.1.113883.10.20.22.2.5.1" extension="2015-08-01" /&gt;</t>
  </si>
  <si>
    <t>&lt;templateId root="2.16.840.1.113883.10.20.22.4.3" extension="2024-05-01" /&gt;</t>
  </si>
  <si>
    <t>&lt;templateId root="2.16.840.1.113883.10.20.22.2.7.1" extension="2014-06-09"/&gt;</t>
  </si>
  <si>
    <t>&lt;templateId root="2.16.840.1.113883.10.20.22.4.14" extension="2024-05-01"/&gt;</t>
  </si>
  <si>
    <t>&lt;templateId root="2.16.840.1.113883.10.20.22.4.202" extension="2026-05-01"/&gt;</t>
  </si>
  <si>
    <t xml:space="preserve">		 &lt;templateId root="2.16.840.1.113883.10.20.22.4.14" extension="2024-05-01" /&gt;</t>
  </si>
  <si>
    <t>&lt;templateId root="2.16.840.1.113883.10.20.22.2.65" extension="2016-11-01"/&gt;</t>
  </si>
  <si>
    <t>&lt;templateId root="2.16.840.1.113883.10.20.22.4.202" extension="2016-11-01"/&gt;</t>
  </si>
  <si>
    <t>&lt;templateId root="2.16.840.1.113883.10.20.22.4.76" extension="2024-05-01"/&gt;</t>
  </si>
  <si>
    <t>&lt;templateId root="2.16.840.1.113883.10.20.22.4.138" /&gt;</t>
  </si>
  <si>
    <t>&lt;templateId root="2.16.840.1.113883.10.20.22.4.130" /&gt;</t>
  </si>
  <si>
    <t>&lt;templateId root="2.16.840.1.113883.10.20.22.4.124" /&gt;</t>
  </si>
  <si>
    <t>&lt;templateId root="2.16.840.1.113883.10.20.21.2.1"/&gt;</t>
  </si>
  <si>
    <t>&lt;templateId root="2.16.840.1.113883.10.20.7.12"/&gt;</t>
  </si>
  <si>
    <t>&lt;templateId root="2.16.840.1.113883.10.20.7.14"/&gt;</t>
  </si>
  <si>
    <t>&lt;templateId root="2.16.840.1.113883.10.20.22.4.144" /&gt;</t>
  </si>
  <si>
    <t>&lt;templateId root="2.16.840.1.113883.10.20.22.1.1" extension="2024-05-01" /&gt;</t>
  </si>
  <si>
    <t>&lt;templateId root="2.16.840.1.113883.10.20.29.1" extension="2024-05-01" /&gt;</t>
  </si>
  <si>
    <t>&lt;templateId root="2.16.840.1.113883.10.20.22.2.18" extension="2015-08-01" /&gt;</t>
  </si>
  <si>
    <t xml:space="preserve">		 &lt;templateId root="2.16.840.1.113883.10.20.22.4.60" extension="2024-05-01" /&gt;</t>
  </si>
  <si>
    <t xml:space="preserve">		 &lt;templateId root="2.16.840.1.113883.10.20.22.4.61" extension="2024-05-01" /&gt;</t>
  </si>
  <si>
    <t xml:space="preserve">		 &lt;templateId root="2.16.840.1.113883.10.20.22.4.87"/&gt;</t>
  </si>
  <si>
    <t xml:space="preserve">		 &lt;templateId root="2.16.840.1.113883.10.20.22.4.89"/&gt;</t>
  </si>
  <si>
    <t>&lt;templateId root="2.16.840.1.113883.10.20.22.4.40" extension="2014-06-09" /&gt;</t>
  </si>
  <si>
    <t>&lt;templateId root="2.16.840.1.113883.10.20.22.4.129" extension="2024-05-01"/&gt;</t>
  </si>
  <si>
    <t>&lt;templateId root="2.16.840.1.113883.10.20.22.4.120" /&gt;</t>
  </si>
  <si>
    <t>&lt;!-- &lt;templateId root="2.16.840.1.113883.10.20.22.4.146" extension="2015-08-01" /&gt; --&gt;</t>
  </si>
  <si>
    <t>&lt;!-- &lt;templateId root="2.16.840.1.113883.10.20.22.4.121" extension="2022-06-01" /&gt; --&gt;</t>
  </si>
  <si>
    <t>&lt;templateId root="2.16.840.1.113883.10.20.22.4.42" extension="2014-06-09" /&gt;</t>
  </si>
  <si>
    <t>&lt;templateId root="2.16.840.1.113883.10.20.22.4.41" extension="2022-06-01" /&gt;</t>
  </si>
  <si>
    <t>&lt;templateId root="2.16.840.1.113883.10.20.22.2.30" extension="2014-06-09" /&gt;</t>
  </si>
  <si>
    <t>&lt;templateId root="2.16.840.1.113883.10.20.22.4.41" extension="2014-06-09" /&gt;</t>
  </si>
  <si>
    <t>&lt;templateId root="2.16.840.1.113883.10.20.22.4.43" extension="2024-05-01" /&gt;</t>
  </si>
  <si>
    <t>&lt;templateId root="2.16.840.1.113883.10.20.22.4.87" /&gt;</t>
  </si>
  <si>
    <t>&lt;templateId root="2.16.840.1.113883.10.20.22.4.88" /&gt;</t>
  </si>
  <si>
    <t>&lt;templateId root="2.16.840.1.113883.10.20.22.4.89" /&gt;</t>
  </si>
  <si>
    <t>&lt;templateId root="2.16.840.1.113883.10.20.22.4.90" /&gt;</t>
  </si>
  <si>
    <t>&lt;templateId root="2.16.840.1.113883.10.20.1.19" /&gt;</t>
  </si>
  <si>
    <t>&lt;templateId root="2.16.840.1.113883.10.20.22.4.51" extension="2015-08-01"/&gt;</t>
  </si>
  <si>
    <t xml:space="preserve">		 &lt;templateId root="2.16.840.1.113883.10.20.22.4.51" extension="2015-08-01"/&gt;</t>
  </si>
  <si>
    <t>&lt;templateId root="2.16.840.1.113883.10.20.22.4.25"</t>
  </si>
  <si>
    <t>&lt;templateId root="2.16.840.1.113883.10.20.22.4.281" extension="2023-05-01" /&gt;</t>
  </si>
  <si>
    <t>&lt;templateId root="2.16.840.1.113883.10.20.15.3.8" extension="2025-05-01"/&gt;</t>
  </si>
  <si>
    <t xml:space="preserve">		 &lt;templateId root="2.16.840.1.113883.10.20.15.3.1"/&gt;</t>
  </si>
  <si>
    <t>&lt;templateId root="2.16.840.1.113883.10.20.22.4.65" extension="2015-08-01" /&gt;</t>
  </si>
  <si>
    <t xml:space="preserve">		 &lt;templateId root="2.16.840.1.113883.10.20.22.4.65" extension="2015-08-01" /&gt;</t>
  </si>
  <si>
    <t xml:space="preserve">				 &lt;templateId root="2.16.840.1.113883.10.20.22.4.4" extension="2024-05-01" /&gt;</t>
  </si>
  <si>
    <t xml:space="preserve">				 &lt;templateId root="2.16.840.1.113883.10.20.22.4.119" /&gt;</t>
  </si>
  <si>
    <t>&lt;templateId root="2.16.840.1.113883.10.20.22.4.3"</t>
  </si>
  <si>
    <t xml:space="preserve">		 &lt;templateId root="2.16.840.1.113883.10.20.22.4.3"</t>
  </si>
  <si>
    <t>&lt;templateId root="2.16.840.1.113883.10.20.18.2.12"/&gt;</t>
  </si>
  <si>
    <t>&lt;templateId root="2.16.840.1.113883.10.20.22.2.40"/&gt;</t>
  </si>
  <si>
    <t>&lt;templateId root="2.16.840.1.113883.10.20.22.4.37"/&gt;</t>
  </si>
  <si>
    <t>&lt;templateId root="2.16.840.1.113883.10.20.22.4.113" /&gt;</t>
  </si>
  <si>
    <t xml:space="preserve">				 &lt;templateId root="2.16.840.1.113883.10.20.22.2.65" extension="2026-05-01"/&gt;</t>
  </si>
  <si>
    <t xml:space="preserve">				 &lt;templateId root="2.16.840.1.113883.10.20.22.4.202" extension="2026-05-01"/&gt;</t>
  </si>
  <si>
    <t>&lt;templateId root="2.16.840.1.113883.10.20.21.3.1" /&gt;</t>
  </si>
  <si>
    <t>&lt;templateId root="2.16.840.1.113883.10.20.22.4.110" /&gt;</t>
  </si>
  <si>
    <t>&lt;templateId root="2.16.840.1.113883.10.20.22.5.7" extension="2020-05-19" /&gt;</t>
  </si>
  <si>
    <t>&lt;templateId root="2.16.840.1.113883.10.20.22.4.140" /&gt;</t>
  </si>
  <si>
    <t>&lt;templateId root="2.16.840.1.113883.10.20.22.2.12"/&gt;</t>
  </si>
  <si>
    <t>&lt;templateId root="2.16.840.1.113883.10.20.22.4.2" extension="2023-05-01" /&gt;</t>
  </si>
  <si>
    <t>&lt;templateId root="2.16.840.1.113883.10.20.22.4.1" extension="2023-05-01" /&gt;</t>
  </si>
  <si>
    <t xml:space="preserve">		 &lt;templateId root="2.16.840.1.113883.10.20.22.4.2" extension="2023-05-01" /&gt;</t>
  </si>
  <si>
    <t xml:space="preserve">		 &lt;templateId root="2.16.840.1.113883.10.20.22.4.415" extension="2018-09-01" /&gt;</t>
  </si>
  <si>
    <t xml:space="preserve">				 &lt;templateId root="2.16.840.1.113883.10.20.22.4.421" extension="2018-06-12" /&gt;</t>
  </si>
  <si>
    <t>&lt;templateId root="2.16.840.1.113883.10.20.22.2.3.1" extension="2015-08-01" /&gt;</t>
  </si>
  <si>
    <t xml:space="preserve">		 &lt;templateId root="2.16.840.1.113883.10.20.22.4.1" extension="2023-05-01" /&gt;</t>
  </si>
  <si>
    <t xml:space="preserve">				 &lt;templateId root="2.16.840.1.113883.10.20.22.4.2" extension="2023-05-01" /&gt;</t>
  </si>
  <si>
    <t>&lt;templateId root="1.3.6.1.4.1.19376.1.5.3.1.3.18"/&gt;</t>
  </si>
  <si>
    <t>&lt;templateId root="2.16.840.1.113883.10.20.22.4.136" extension="2015-08-01"/&gt;</t>
  </si>
  <si>
    <t>&lt;templateId root="2.16.840.1.113883.10.20.22.4.68.99999"/&gt;</t>
  </si>
  <si>
    <t>&lt;templateId root="2.16.840.1.113883.10.20.22.4.319" extension="2019-06-21"/&gt;</t>
  </si>
  <si>
    <t>&lt;templateId root="2.16.840.1.113883.10.20.22.4.32"/&gt;</t>
  </si>
  <si>
    <t>&lt;templateId root="2.16.840.1.113883.10.20.22.4.507" extension="2023-06-28" /&gt;</t>
  </si>
  <si>
    <t>&lt;templateId root="2.16.840.1.113883.10.20.22.4.501" extension="2023-05-01"/&gt;</t>
  </si>
  <si>
    <t xml:space="preserve">	 &lt;templateId root="2.16.840.1.113883.10.20.22.4.119" /&gt;</t>
  </si>
  <si>
    <t>&lt;templateId root="2.16.840.1.113883.10.20.22.4.511" extension="2024-05-01" /&gt;</t>
  </si>
  <si>
    <t>&lt;templateId root="2.16.840.1.113883.10.20.22.4.78" extension="2024-05-01" /&gt;</t>
  </si>
  <si>
    <t>&lt;templateId root="2.16.840.1.113883.10.20.22.4.38"</t>
  </si>
  <si>
    <t>&lt;templateId root="2.16.840.1.113883.10.20.22.2.17" extension="2015-08-01" /&gt;</t>
  </si>
  <si>
    <t xml:space="preserve">&lt;templateId root="2.16.840.1.113883.10.20.22.4.38" extension="2015-08-01" /&gt;							</t>
  </si>
  <si>
    <t>&lt;templateId root="2.16.840.1.113883.10.20.22.4.415" extension="2018-09-01" /&gt;</t>
  </si>
  <si>
    <t xml:space="preserve">		 &lt;templateId root="2.16.840.1.113883.10.20.22.4.421" extension="2018-06-12" /&gt;</t>
  </si>
  <si>
    <t>&lt;templateId root="2.16.840.1.113883.10.20.22.4.421" extension="2018-06-12" /&gt;</t>
  </si>
  <si>
    <t>&lt;templateId root="2.16.840.1.113883.10.20.21.2.2"/&gt;</t>
  </si>
  <si>
    <t>&lt;templateId root="2.16.840.1.113883.10.20.22.4.118" /&gt;</t>
  </si>
  <si>
    <t>&lt;templateId root="2.16.840.1.113883.10.20.7.13"/&gt;</t>
  </si>
  <si>
    <t>&lt;templateId root="2.16.840.1.113883.10.20.22.4.85" extension="2014-06-09" /&gt;</t>
  </si>
  <si>
    <t>&lt;templateId root="2.16.840.1.113883.10.20.22.1.13" extension="2024-05-01" /&gt;</t>
  </si>
  <si>
    <t>&lt;templateId root="2.16.840.1.113883.10.20.22.4.38" extension="2022-06-01" /&gt;</t>
  </si>
  <si>
    <t>&lt;templateId root="2.16.840.1.113883.10.20.22.4.506" extension="2023-05-01"/&gt;</t>
  </si>
  <si>
    <t>&lt;templateId root="2.16.840.1.113883.10.20.22.4.311"</t>
  </si>
  <si>
    <t>&lt;templateId root="2.16.840.1.113883.10.20.22.4.304"</t>
  </si>
  <si>
    <t>&lt;templateId root="2.16.840.1.113883.10.20.22.4.315"</t>
  </si>
  <si>
    <t>&lt;templateId root="2.16.840.1.113883.10.20.22.4.319"</t>
  </si>
  <si>
    <t>&lt;templateId root="2.16.840.1.113883.10.20.22.4.316"</t>
  </si>
  <si>
    <t>&lt;templateId root="2.16.840.1.113883.10.20.22.4.309"</t>
  </si>
  <si>
    <t>&lt;templateId root="2.16.840.1.113883.10.20.22.4.308"</t>
  </si>
  <si>
    <t>&lt;templateId root="2.16.840.1.113883.10.20.22.4.301"</t>
  </si>
  <si>
    <t>&lt;templateId root="2.16.840.1.113883.10.20.22.4.317"</t>
  </si>
  <si>
    <t>&lt;templateId root="2.16.840.1.113883.10.20.22.4.302"</t>
  </si>
  <si>
    <t>&lt;templateId root="2.16.840.1.113883.10.20.22.4.303"</t>
  </si>
  <si>
    <t>&lt;templateId root="2.16.840.1.113883.10.20.22.4.318"</t>
  </si>
  <si>
    <t>&lt;templateId root="2.16.840.1.113883.10.20.22.4.305"</t>
  </si>
  <si>
    <t>&lt;templateId root="2.16.840.1.113883.10.20.22.4.26" extension="2015-08-01" /&gt;</t>
  </si>
  <si>
    <t>&lt;templateId root="2.16.840.1.113883.10.20.22.2.4.1" extension="2015-08-01" /&gt;</t>
  </si>
  <si>
    <t>&lt;templateId root="2.16.840.1.113883.10.20.22.4.134" /&gt;</t>
  </si>
  <si>
    <t>&lt;templateId root="2.16.840.1.113883.10.20.22.4.133" /&gt;</t>
  </si>
  <si>
    <t xml:space="preserve">2.16.840.1.113883.10.20.22.2.43/ </t>
  </si>
  <si>
    <t xml:space="preserve">2.16.840.1.113883.10.20.22.4.34/ </t>
  </si>
  <si>
    <t xml:space="preserve">2.16.840.1.113883.10.20.22.4.4/ </t>
  </si>
  <si>
    <t xml:space="preserve">2.16.840.1.113883.10.20.22.4.36/ </t>
  </si>
  <si>
    <t>2.16.840.1.113883.10.20.22.4.16/</t>
  </si>
  <si>
    <t>2.16.840.1.113883.10.20.22.4.23/</t>
  </si>
  <si>
    <t>2.16.840.1.113883.10.20.22.4.513/</t>
  </si>
  <si>
    <t xml:space="preserve">2.16.840.1.113883.10.20.22.5.6/ </t>
  </si>
  <si>
    <t>2.16.840.1.113883.10.20.22.4.48/</t>
  </si>
  <si>
    <t>2.16.840.1.113883.10.20.22.4.119/ /&gt;</t>
  </si>
  <si>
    <t>2.16.840.1.113883.10.20.1.58/ /&gt;</t>
  </si>
  <si>
    <t xml:space="preserve">2.16.840.1.113883.10.20.22.2.21.1/ </t>
  </si>
  <si>
    <t>2.16.840.1.113883.10.20.22.4.31/ /&gt;</t>
  </si>
  <si>
    <t xml:space="preserve">2.16.840.1.113883.10.20.22.2.6.1/ </t>
  </si>
  <si>
    <t xml:space="preserve">2.16.840.1.113883.10.20.22.4.30/ </t>
  </si>
  <si>
    <t xml:space="preserve">2.16.840.1.113883.10.20.22.4.7/ </t>
  </si>
  <si>
    <t xml:space="preserve">2.16.840.1.113883.10.20.24.3.90/ </t>
  </si>
  <si>
    <t xml:space="preserve">2.16.840.1.113883.10.20.22.4.9/ </t>
  </si>
  <si>
    <t xml:space="preserve">2.16.840.1.113883.10.20.22.4.8/ </t>
  </si>
  <si>
    <t>2.16.840.1.113883.10.20.22.4.145//&gt;</t>
  </si>
  <si>
    <t>2.16.840.1.113883.10.20.22.4.119//&gt;</t>
  </si>
  <si>
    <t xml:space="preserve">2.16.840.1.113883.10.20.22.2.25/ </t>
  </si>
  <si>
    <t xml:space="preserve">2.16.840.1.113883.10.20.22.4.14/ </t>
  </si>
  <si>
    <t xml:space="preserve">2.16.840.1.113883.10.20.22.4.16/ </t>
  </si>
  <si>
    <t xml:space="preserve">2.16.840.1.113883.10.20.22.2.9/ </t>
  </si>
  <si>
    <t xml:space="preserve">2.16.840.1.113883.10.20.22.4.41/ </t>
  </si>
  <si>
    <t xml:space="preserve">2.16.840.1.113883.10.20.22.4.69/ </t>
  </si>
  <si>
    <t xml:space="preserve">2.16.840.1.113883.10.20.22.4.86/ </t>
  </si>
  <si>
    <t>2.16.840.1.113883.10.20.22.2.8//&gt;</t>
  </si>
  <si>
    <t>2.16.840.1.113883.10.20.1.19//&gt;</t>
  </si>
  <si>
    <t xml:space="preserve">2.16.840.1.113883.10.20.22.4.512/ </t>
  </si>
  <si>
    <t xml:space="preserve">2.16.840.1.113883.10.20.22.4.27/ </t>
  </si>
  <si>
    <t xml:space="preserve">2.16.840.1.113883.10.20.22.4.38/ </t>
  </si>
  <si>
    <t xml:space="preserve">2.16.840.1.113883.10.20.22.4.504/ </t>
  </si>
  <si>
    <t xml:space="preserve">2.16.840.1.113883.10.20.22.4.503/ </t>
  </si>
  <si>
    <t xml:space="preserve">2.16.840.1.113883.10.20.22.4.200/ </t>
  </si>
  <si>
    <t xml:space="preserve">2.16.840.1.113883.10.20.22.4.301/ </t>
  </si>
  <si>
    <t xml:space="preserve">2.16.840.1.113883.10.20.22.1.1/ </t>
  </si>
  <si>
    <t xml:space="preserve">2.16.840.1.113883.10.20.22.1.15/ </t>
  </si>
  <si>
    <t xml:space="preserve">2.16.840.1.113883.10.20.22.2.58/ </t>
  </si>
  <si>
    <t>2.16.840.1.113883.10.20.22.2.60//&gt;</t>
  </si>
  <si>
    <t>2.16.840.1.113883.10.20.22.2.61/ /&gt;</t>
  </si>
  <si>
    <t xml:space="preserve">2.16.840.1.113883.10.20.22.4.500.1/ </t>
  </si>
  <si>
    <t xml:space="preserve">2.16.840.1.113883.10.20.22.4.49/ </t>
  </si>
  <si>
    <t xml:space="preserve">2.16.840.1.113883.10.20.22.4.500.3/ </t>
  </si>
  <si>
    <t xml:space="preserve">2.16.840.1.113883.10.20.22.4.500/ </t>
  </si>
  <si>
    <t xml:space="preserve">2.16.840.1.113883.10.20.22.4.500.2/ </t>
  </si>
  <si>
    <t xml:space="preserve">2.16.840.1.113883.10.20.22.2.500/ </t>
  </si>
  <si>
    <t>2.16.840.1.113883.10.20.22.4.72//&gt;</t>
  </si>
  <si>
    <t xml:space="preserve">2.16.840.1.113883.10.20.22.4.302/ </t>
  </si>
  <si>
    <t xml:space="preserve">2.16.840.1.113883.10.20.22.1.2/ </t>
  </si>
  <si>
    <t xml:space="preserve">2.16.840.1.113883.10.20.22.5.8/ </t>
  </si>
  <si>
    <t xml:space="preserve">2.16.840.1.113883.10.20.22.2.22.1/ </t>
  </si>
  <si>
    <t xml:space="preserve">2.16.840.1.113883.10.20.22.2.17/ </t>
  </si>
  <si>
    <t xml:space="preserve">2.16.840.1.113883.10.20.22.2.5.1/ </t>
  </si>
  <si>
    <t xml:space="preserve">2.16.840.1.113883.10.20.22.2.1.1/ </t>
  </si>
  <si>
    <t xml:space="preserve">2.16.840.1.113883.10.20.22.2.3.1/ </t>
  </si>
  <si>
    <t xml:space="preserve">2.16.840.1.113883.10.20.22.2.4.1/ </t>
  </si>
  <si>
    <t>2.16.840.1.113883.10.20.22.4.109/ /&gt;</t>
  </si>
  <si>
    <t>2.16.840.1.113883.10.20.22.2.13//&gt;</t>
  </si>
  <si>
    <t>1.3.6.1.4.1.19376.1.5.3.1.1.13.2.1//&gt;</t>
  </si>
  <si>
    <t>2.16.840.1.113883.10.20.6.2.13//&gt;</t>
  </si>
  <si>
    <t>2.16.840.1.113883.10.20.22.4.64//&gt;</t>
  </si>
  <si>
    <t xml:space="preserve">2.16.840.1.113883.10.20.22.4.303/ </t>
  </si>
  <si>
    <t xml:space="preserve">2.16.840.1.113883.10.20.22.2.37/ </t>
  </si>
  <si>
    <t xml:space="preserve">2.16.840.1.113883.10.20.22.1.4/ </t>
  </si>
  <si>
    <t>1.3.6.1.4.1.19376.1.5.3.1.3.4//&gt;</t>
  </si>
  <si>
    <t>2.16.840.1.113883.10.20.22.2.12/ /&gt;</t>
  </si>
  <si>
    <t xml:space="preserve">2.16.840.1.113883.10.20.2.10/ </t>
  </si>
  <si>
    <t>2.16.840.1.113883.10.20.22.2.64//&gt;</t>
  </si>
  <si>
    <t xml:space="preserve">2.16.840.1.113883.10.20.22.4.60/ </t>
  </si>
  <si>
    <t xml:space="preserve">2.16.840.1.113883.10.20.22.4.61/ </t>
  </si>
  <si>
    <t>2.16.840.1.113883.10.20.22.4.87//&gt;</t>
  </si>
  <si>
    <t>2.16.840.1.113883.10.20.22.4.89//&gt;</t>
  </si>
  <si>
    <t>2.16.840.1.113883.10.20.22.4.111/ /&gt;</t>
  </si>
  <si>
    <t xml:space="preserve">2.16.840.1.113883.10.20.22.4.502/ </t>
  </si>
  <si>
    <t xml:space="preserve">2.16.840.1.113883.10.20.22.4.79/ </t>
  </si>
  <si>
    <t xml:space="preserve">2.16.840.1.113883.10.20.22.4.304/ </t>
  </si>
  <si>
    <t>2.16.840.1.113883.10.20.22.4.122/ /&gt;</t>
  </si>
  <si>
    <t xml:space="preserve">2.16.840.1.113883.10.20.22.4.33/ </t>
  </si>
  <si>
    <t xml:space="preserve">2.16.840.1.113883.10.20.22.4.505/ </t>
  </si>
  <si>
    <t xml:space="preserve">2.16.840.1.113883.10.20.22.2.24/ </t>
  </si>
  <si>
    <t xml:space="preserve">2.16.840.1.113883.10.20.22.4.35/ </t>
  </si>
  <si>
    <t xml:space="preserve">2.16.840.1.113883.10.20.22.2.11.1/ </t>
  </si>
  <si>
    <t xml:space="preserve">2.16.840.1.113883.10.20.22.1.8/ </t>
  </si>
  <si>
    <t>1.3.6.1.4.1.19376.1.5.3.1.3.5//&gt;</t>
  </si>
  <si>
    <t xml:space="preserve">2.16.840.1.113883.10.20.22.2.10/ </t>
  </si>
  <si>
    <t>2.16.840.1.113883.10.20.22.2.42//&gt;</t>
  </si>
  <si>
    <t xml:space="preserve">2.16.840.1.113883.10.20.22.2.7.1/ </t>
  </si>
  <si>
    <t xml:space="preserve">2.16.840.1.113883.10.20.22.4.308/ </t>
  </si>
  <si>
    <t>2.16.840.1.113883.10.20.22.4.123/ /&gt;</t>
  </si>
  <si>
    <t>2.16.840.1.113883.10.20.22.4.24//&gt;</t>
  </si>
  <si>
    <t>2.16.840.1.113883.10.20.22.4.32/ /&gt;</t>
  </si>
  <si>
    <t xml:space="preserve">2.16.840.1.113883.10.20.22.4.19/ </t>
  </si>
  <si>
    <t xml:space="preserve">2.16.840.1.113883.10.20.22.4.80/ </t>
  </si>
  <si>
    <t xml:space="preserve">2.16.840.1.113883.10.20.22.4.132/ </t>
  </si>
  <si>
    <t>2.16.840.1.113883.10.20.15.3.1//&gt;</t>
  </si>
  <si>
    <t>2.16.840.1.113883.10.20.22.4.115/</t>
  </si>
  <si>
    <t>2.16.840.1.113883.10.20.22.4.47//&gt;</t>
  </si>
  <si>
    <t xml:space="preserve">2.16.840.1.113883.10.20.22.4.46/ </t>
  </si>
  <si>
    <t xml:space="preserve">2.16.840.1.113883.10.20.22.4.45/ </t>
  </si>
  <si>
    <t xml:space="preserve">2.16.840.1.113883.10.20.22.2.15/ </t>
  </si>
  <si>
    <t>2.16.840.1.113883.10.20.22.4.45/ /&gt;</t>
  </si>
  <si>
    <t xml:space="preserve">2.16.840.1.113883.10.20.22.4.67/ </t>
  </si>
  <si>
    <t xml:space="preserve">2.16.840.1.113883.10.20.22.4.66/ </t>
  </si>
  <si>
    <t>2.16.840.1.113883.10.20.22.4.128/ /&gt;</t>
  </si>
  <si>
    <t xml:space="preserve">2.16.840.1.113883.10.20.22.2.14/ </t>
  </si>
  <si>
    <t>2.16.840.1.113883.10.20.22.4.127/ /&gt;</t>
  </si>
  <si>
    <t>2.16.840.1.113883.10.20.22.4.72/ /&gt;</t>
  </si>
  <si>
    <t xml:space="preserve">2.16.840.1.113883.10.20.34.3.45/ </t>
  </si>
  <si>
    <t>2.16.840.1.113883.10.20.2.5/ /&gt;</t>
  </si>
  <si>
    <t xml:space="preserve">2.16.840.1.113883.10.20.22.4.121/ </t>
  </si>
  <si>
    <t>2.16.840.1.113883.10.20.22.4.143/ /&gt;</t>
  </si>
  <si>
    <t>2.16.840.1.113883.10.20.22.2.60/ /&gt;</t>
  </si>
  <si>
    <t>2.16.840.1.113883.10.20.22.4.141/ /&gt;</t>
  </si>
  <si>
    <t xml:space="preserve">2.16.840.1.113883.10.20.22.4.85/ </t>
  </si>
  <si>
    <t xml:space="preserve">2.16.840.1.113883.10.20.22.4.5/ </t>
  </si>
  <si>
    <t>2.16.840.1.113883.10.20.22.4.77//&gt;</t>
  </si>
  <si>
    <t xml:space="preserve">2.16.840.1.113883.10.20.22.1.3/ </t>
  </si>
  <si>
    <t xml:space="preserve">2.16.840.1.113883.10.20.22.2.20/ </t>
  </si>
  <si>
    <t>1.3.6.1.4.1.19376.1.5.3.1.3.18/ /&gt;</t>
  </si>
  <si>
    <t>2.16.840.1.113883.10.20.22.2.41//&gt;</t>
  </si>
  <si>
    <t>1.3.6.1.4.1.19376.1.5.3.1.3.26//&gt;</t>
  </si>
  <si>
    <t>2.16.840.1.113883.10.20.22.2.16//&gt;</t>
  </si>
  <si>
    <t xml:space="preserve">2.16.840.1.113883.10.20.22.4.52/ </t>
  </si>
  <si>
    <t xml:space="preserve">2.16.840.1.113883.10.20.22.4.54/ </t>
  </si>
  <si>
    <t xml:space="preserve">2.16.840.1.113883.10.20.22.4.53/ </t>
  </si>
  <si>
    <t xml:space="preserve">2.16.840.1.113883.10.20.22.2.2.1/ </t>
  </si>
  <si>
    <t xml:space="preserve">2.16.840.1.113883.10.20.22.4.305/ </t>
  </si>
  <si>
    <t xml:space="preserve">2.16.840.1.113883.10.20.22.4.23/ </t>
  </si>
  <si>
    <t>2.16.840.1.113883.10.20.22.4.4//&gt;</t>
  </si>
  <si>
    <t xml:space="preserve">2.16.840.1.113883.10.20.22.4.515/ </t>
  </si>
  <si>
    <t xml:space="preserve">2.16.840.1.113883.10.20.22.2.45/ </t>
  </si>
  <si>
    <t xml:space="preserve">2.16.840.1.113883.10.20.22.4.20/ </t>
  </si>
  <si>
    <t xml:space="preserve">2.16.840.1.113883.10.20.22.4.131/ </t>
  </si>
  <si>
    <t>2.16.840.1.113883.10.20.22.4.314/</t>
  </si>
  <si>
    <t xml:space="preserve">2.16.840.1.113883.10.20.22.4.114/ </t>
  </si>
  <si>
    <t xml:space="preserve">2.16.840.1.113883.10.20.22.4.315/ </t>
  </si>
  <si>
    <t xml:space="preserve">2.16.840.1.113883.10.20.22.4.316/ </t>
  </si>
  <si>
    <t>2.16.840.1.113883.10.20.22.4.135/ /&gt;</t>
  </si>
  <si>
    <t xml:space="preserve">2.16.840.1.113883.10.20.22.4.50/ </t>
  </si>
  <si>
    <t xml:space="preserve">2.16.840.1.113883.10.20.22.2.23/ </t>
  </si>
  <si>
    <t>2.16.840.1.113883.10.20.22.4.37/ /&gt;</t>
  </si>
  <si>
    <t>2.16.840.1.113883.10.20.22.4.19/</t>
  </si>
  <si>
    <t xml:space="preserve">2.16.840.1.113883.10.20.22.4.508/ </t>
  </si>
  <si>
    <t xml:space="preserve">2.16.840.1.113883.10.20.22.4.18/ </t>
  </si>
  <si>
    <t>2.16.840.1.113883.10.20.22.4.147//&gt;</t>
  </si>
  <si>
    <t xml:space="preserve">2.16.840.1.113883.10.20.22.4.17/ </t>
  </si>
  <si>
    <t xml:space="preserve">2.16.840.1.113883.10.20.22.2.38/ </t>
  </si>
  <si>
    <t xml:space="preserve">2.16.840.1.113883.10.20.22.4.74/ </t>
  </si>
  <si>
    <t xml:space="preserve">2.16.840.1.113883.10.20.22.4.75/ </t>
  </si>
  <si>
    <t xml:space="preserve">2.16.840.1.113883.10.20.22.2.56/ </t>
  </si>
  <si>
    <t xml:space="preserve">2.16.840.1.113883.10.20.22.4.317/ </t>
  </si>
  <si>
    <t xml:space="preserve">2.16.840.1.113883.10.20.22.4.318/ </t>
  </si>
  <si>
    <t xml:space="preserve">2.16.840.1.113883.10.20.22.4.3/ </t>
  </si>
  <si>
    <t xml:space="preserve">2.16.840.1.113883.10.20.22.4.202/ </t>
  </si>
  <si>
    <t xml:space="preserve">2.16.840.1.113883.10.20.22.2.65/ </t>
  </si>
  <si>
    <t xml:space="preserve">2.16.840.1.113883.10.20.22.4.76/ </t>
  </si>
  <si>
    <t>2.16.840.1.113883.10.20.22.4.138/ /&gt;</t>
  </si>
  <si>
    <t>2.16.840.1.113883.10.20.22.4.130/ /&gt;</t>
  </si>
  <si>
    <t>2.16.840.1.113883.10.20.22.2.57/ /&gt;</t>
  </si>
  <si>
    <t>2.16.840.1.113883.10.20.22.4.124/ /&gt;</t>
  </si>
  <si>
    <t>2.16.840.1.113883.10.20.21.2.1//&gt;</t>
  </si>
  <si>
    <t>2.16.840.1.113883.10.20.7.12//&gt;</t>
  </si>
  <si>
    <t xml:space="preserve">2.16.840.1.113883.10.20.22.1.7/ </t>
  </si>
  <si>
    <t xml:space="preserve">2.16.840.1.113883.10.20.22.2.34/ </t>
  </si>
  <si>
    <t>2.16.840.1.113883.10.20.18.2.9//&gt;</t>
  </si>
  <si>
    <t xml:space="preserve">2.16.840.1.113883.10.20.22.2.28/ </t>
  </si>
  <si>
    <t>2.16.840.1.113883.10.20.22.2.31//&gt;</t>
  </si>
  <si>
    <t>2.16.840.1.113883.10.20.22.2.27//&gt;</t>
  </si>
  <si>
    <t>2.16.840.1.113883.10.20.22.2.35//&gt;</t>
  </si>
  <si>
    <t>2.16.840.1.113883.10.20.7.14//&gt;</t>
  </si>
  <si>
    <t>2.16.840.1.113883.10.20.22.4.144/ /&gt;</t>
  </si>
  <si>
    <t>2.16.840.1.113883.10.20.22.2.61//&gt;</t>
  </si>
  <si>
    <t>2.16.840.1.113883.10.20.22.4.144//&gt;</t>
  </si>
  <si>
    <t>2.16.840.1.113883.10.20.22.4.122//&gt;</t>
  </si>
  <si>
    <t xml:space="preserve">2.16.840.1.113883.10.20.29.1/ </t>
  </si>
  <si>
    <t xml:space="preserve">2.16.840.1.113883.10.20.22.2.18/ </t>
  </si>
  <si>
    <t xml:space="preserve">2.16.840.1.113883.10.20.22.4.40/ </t>
  </si>
  <si>
    <t xml:space="preserve">2.16.840.1.113883.10.20.22.4.129/ </t>
  </si>
  <si>
    <t>2.16.840.1.113883.10.20.22.4.120/ /&gt;</t>
  </si>
  <si>
    <t xml:space="preserve">2.16.840.1.113883.10.20.22.4.146/ </t>
  </si>
  <si>
    <t xml:space="preserve">2.16.840.1.113883.10.20.22.4.42/ </t>
  </si>
  <si>
    <t xml:space="preserve">2.16.840.1.113883.10.20.22.2.30/ </t>
  </si>
  <si>
    <t xml:space="preserve">2.16.840.1.113883.10.20.22.4.43/ </t>
  </si>
  <si>
    <t>2.16.840.1.113883.10.20.22.4.87/ /&gt;</t>
  </si>
  <si>
    <t>2.16.840.1.113883.10.20.22.4.88/ /&gt;</t>
  </si>
  <si>
    <t>2.16.840.1.113883.10.20.22.4.89/ /&gt;</t>
  </si>
  <si>
    <t>2.16.840.1.113883.10.20.22.4.90/ /&gt;</t>
  </si>
  <si>
    <t>2.16.840.1.113883.10.20.1.19/ /&gt;</t>
  </si>
  <si>
    <t xml:space="preserve">2.16.840.1.113883.10.20.22.4.51/ </t>
  </si>
  <si>
    <t xml:space="preserve">2.16.840.1.113883.10.20.22.2.36/ </t>
  </si>
  <si>
    <t>2.16.840.1.113883.10.20.22.4.25/</t>
  </si>
  <si>
    <t xml:space="preserve">2.16.840.1.113883.10.20.22.4.281/ </t>
  </si>
  <si>
    <t xml:space="preserve">2.16.840.1.113883.10.20.15.3.8/ </t>
  </si>
  <si>
    <t xml:space="preserve">2.16.840.1.113883.10.20.22.4.65/ </t>
  </si>
  <si>
    <t>2.16.840.1.113883.10.20.22.4.3/</t>
  </si>
  <si>
    <t>2.16.840.1.113883.10.20.18.2.12//&gt;</t>
  </si>
  <si>
    <t>2.16.840.1.113883.10.20.22.2.40//&gt;</t>
  </si>
  <si>
    <t xml:space="preserve">2.16.840.1.113883.10.20.22.2.29/ </t>
  </si>
  <si>
    <t xml:space="preserve">2.16.840.1.113883.10.20.22.1.6/ </t>
  </si>
  <si>
    <t>2.16.840.1.113883.10.20.22.4.37//&gt;</t>
  </si>
  <si>
    <t>2.16.840.1.113883.10.20.22.4.113/ /&gt;</t>
  </si>
  <si>
    <t xml:space="preserve">2.16.840.1.113883.10.20.22.1.9/ </t>
  </si>
  <si>
    <t>2.16.840.1.113883.10.20.21.3.1//&gt;</t>
  </si>
  <si>
    <t>2.16.840.1.113883.10.20.21.3.1/ /&gt;</t>
  </si>
  <si>
    <t>2.16.840.1.113883.10.20.22.4.110/ /&gt;</t>
  </si>
  <si>
    <t xml:space="preserve">2.16.840.1.113883.10.20.22.5.7/ </t>
  </si>
  <si>
    <t xml:space="preserve">2.16.840.1.113883.10.20.24.3.88/ </t>
  </si>
  <si>
    <t xml:space="preserve">1.3.6.1.4.1.19376.1.5.3.1.3.1/ </t>
  </si>
  <si>
    <t>2.16.840.1.113883.10.20.22.4.140/ /&gt;</t>
  </si>
  <si>
    <t>2.16.840.1.113883.10.20.22.2.12//&gt;</t>
  </si>
  <si>
    <t xml:space="preserve">2.16.840.1.113883.10.20.22.1.14/ </t>
  </si>
  <si>
    <t xml:space="preserve">2.16.840.1.113883.10.20.22.4.2/ </t>
  </si>
  <si>
    <t xml:space="preserve">2.16.840.1.113883.10.20.22.4.1/ </t>
  </si>
  <si>
    <t xml:space="preserve">2.16.840.1.113883.10.20.22.4.415/ </t>
  </si>
  <si>
    <t xml:space="preserve">2.16.840.1.113883.10.20.22.4.421/ </t>
  </si>
  <si>
    <t>1.3.6.1.4.1.19376.1.5.3.1.3.18//&gt;</t>
  </si>
  <si>
    <t xml:space="preserve">2.16.840.1.113883.10.20.22.4.136/ </t>
  </si>
  <si>
    <t>2.16.840.1.113883.10.20.22.4.68.99999//&gt;</t>
  </si>
  <si>
    <t xml:space="preserve">2.16.840.1.113883.10.20.22.4.319/ </t>
  </si>
  <si>
    <t>2.16.840.1.113883.10.20.22.4.32//&gt;</t>
  </si>
  <si>
    <t xml:space="preserve">2.16.840.1.113883.10.20.22.4.507/ </t>
  </si>
  <si>
    <t xml:space="preserve">2.16.840.1.113883.10.20.22.4.501/ </t>
  </si>
  <si>
    <t xml:space="preserve">2.16.840.1.113883.10.20.22.4.511/ </t>
  </si>
  <si>
    <t xml:space="preserve">2.16.840.1.113883.10.20.22.4.78/ </t>
  </si>
  <si>
    <t>2.16.840.1.113883.10.20.22.4.38/</t>
  </si>
  <si>
    <t>2.16.840.1.113883.10.20.21.2.2//&gt;</t>
  </si>
  <si>
    <t>2.16.840.1.113883.10.20.22.4.118/ /&gt;</t>
  </si>
  <si>
    <t>2.16.840.1.113883.10.20.7.13//&gt;</t>
  </si>
  <si>
    <t xml:space="preserve">2.16.840.1.113883.10.20.22.1.13/ </t>
  </si>
  <si>
    <t xml:space="preserve">2.16.840.1.113883.10.20.22.4.506/ </t>
  </si>
  <si>
    <t>2.16.840.1.113883.10.20.22.4.311/</t>
  </si>
  <si>
    <t>2.16.840.1.113883.10.20.22.4.304/</t>
  </si>
  <si>
    <t>2.16.840.1.113883.10.20.22.4.315/</t>
  </si>
  <si>
    <t>2.16.840.1.113883.10.20.22.4.319/</t>
  </si>
  <si>
    <t>2.16.840.1.113883.10.20.22.4.316/</t>
  </si>
  <si>
    <t>2.16.840.1.113883.10.20.22.4.309/</t>
  </si>
  <si>
    <t>2.16.840.1.113883.10.20.22.4.308/</t>
  </si>
  <si>
    <t>2.16.840.1.113883.10.20.22.4.301/</t>
  </si>
  <si>
    <t>2.16.840.1.113883.10.20.22.4.317/</t>
  </si>
  <si>
    <t>2.16.840.1.113883.10.20.22.4.302/</t>
  </si>
  <si>
    <t>2.16.840.1.113883.10.20.22.4.303/</t>
  </si>
  <si>
    <t>2.16.840.1.113883.10.20.22.4.318/</t>
  </si>
  <si>
    <t>2.16.840.1.113883.10.20.22.4.305/</t>
  </si>
  <si>
    <t xml:space="preserve">2.16.840.1.113883.10.20.22.4.26/ </t>
  </si>
  <si>
    <t>2.16.840.1.113883.10.20.22.4.134/ /&gt;</t>
  </si>
  <si>
    <t>2.16.840.1.113883.10.20.22.4.133/ /&gt;</t>
  </si>
  <si>
    <t>2.16.840.1.113883.10.20.22.2.43</t>
  </si>
  <si>
    <t>2.16.840.1.113883.10.20.22.4.34</t>
  </si>
  <si>
    <t>2.16.840.1.113883.10.20.22.4.4</t>
  </si>
  <si>
    <t>2.16.840.1.113883.10.20.22.4.36</t>
  </si>
  <si>
    <t>2.16.840.1.113883.10.20.22.4.16</t>
  </si>
  <si>
    <t>2.16.840.1.113883.10.20.22.4.23</t>
  </si>
  <si>
    <t>2.16.840.1.113883.10.20.22.4.513</t>
  </si>
  <si>
    <t>2.16.840.1.113883.10.20.22.5.6</t>
  </si>
  <si>
    <t>2.16.840.1.113883.10.20.22.4.48</t>
  </si>
  <si>
    <t>2.16.840.1.113883.10.20.22.4.119</t>
  </si>
  <si>
    <t>2.16.840.1.113883.10.20.1.58</t>
  </si>
  <si>
    <t>2.16.840.1.113883.10.20.22.2.21.1</t>
  </si>
  <si>
    <t>2.16.840.1.113883.10.20.22.4.31</t>
  </si>
  <si>
    <t>2.16.840.1.113883.10.20.22.2.6.1</t>
  </si>
  <si>
    <t>2.16.840.1.113883.10.20.22.4.30</t>
  </si>
  <si>
    <t>2.16.840.1.113883.10.20.22.4.7</t>
  </si>
  <si>
    <t>2.16.840.1.113883.10.20.24.3.90</t>
  </si>
  <si>
    <t>2.16.840.1.113883.10.20.22.4.9</t>
  </si>
  <si>
    <t>2.16.840.1.113883.10.20.22.4.8</t>
  </si>
  <si>
    <t>2.16.840.1.113883.10.20.22.4.145</t>
  </si>
  <si>
    <t>2.16.840.1.113883.10.20.22.2.25</t>
  </si>
  <si>
    <t>2.16.840.1.113883.10.20.22.4.14</t>
  </si>
  <si>
    <t>2.16.840.1.113883.10.20.22.2.9</t>
  </si>
  <si>
    <t>2.16.840.1.113883.10.20.22.4.41</t>
  </si>
  <si>
    <t>2.16.840.1.113883.10.20.22.4.69</t>
  </si>
  <si>
    <t>2.16.840.1.113883.10.20.22.4.86</t>
  </si>
  <si>
    <t>2.16.840.1.113883.10.20.22.2.8</t>
  </si>
  <si>
    <t>2.16.840.1.113883.10.20.1.19</t>
  </si>
  <si>
    <t>2.16.840.1.113883.10.20.22.4.512</t>
  </si>
  <si>
    <t>2.16.840.1.113883.10.20.22.4.27</t>
  </si>
  <si>
    <t>2.16.840.1.113883.10.20.22.4.38</t>
  </si>
  <si>
    <t>2.16.840.1.113883.10.20.22.4.504</t>
  </si>
  <si>
    <t>2.16.840.1.113883.10.20.22.4.503</t>
  </si>
  <si>
    <t>2.16.840.1.113883.10.20.22.4.200</t>
  </si>
  <si>
    <t>2.16.840.1.113883.10.20.22.4.301</t>
  </si>
  <si>
    <t>2.16.840.1.113883.10.20.22.1.1</t>
  </si>
  <si>
    <t>2.16.840.1.113883.10.20.22.1.15</t>
  </si>
  <si>
    <t>2.16.840.1.113883.10.20.22.2.58</t>
  </si>
  <si>
    <t>2.16.840.1.113883.10.20.22.2.60</t>
  </si>
  <si>
    <t>2.16.840.1.113883.10.20.22.2.61</t>
  </si>
  <si>
    <t>2.16.840.1.113883.10.20.22.4.500.1</t>
  </si>
  <si>
    <t>2.16.840.1.113883.10.20.22.4.49</t>
  </si>
  <si>
    <t>2.16.840.1.113883.10.20.22.4.500.3</t>
  </si>
  <si>
    <t>2.16.840.1.113883.10.20.22.4.500</t>
  </si>
  <si>
    <t>2.16.840.1.113883.10.20.22.4.500.2</t>
  </si>
  <si>
    <t>2.16.840.1.113883.10.20.22.2.500</t>
  </si>
  <si>
    <t>2.16.840.1.113883.10.20.22.4.72</t>
  </si>
  <si>
    <t>2.16.840.1.113883.10.20.22.4.302</t>
  </si>
  <si>
    <t>2.16.840.1.113883.10.20.22.1.2</t>
  </si>
  <si>
    <t>2.16.840.1.113883.10.20.22.5.8</t>
  </si>
  <si>
    <t>2.16.840.1.113883.10.20.22.2.22.1</t>
  </si>
  <si>
    <t>2.16.840.1.113883.10.20.22.2.17</t>
  </si>
  <si>
    <t>2.16.840.1.113883.10.20.22.2.5.1</t>
  </si>
  <si>
    <t>2.16.840.1.113883.10.20.22.2.1.1</t>
  </si>
  <si>
    <t>2.16.840.1.113883.10.20.22.2.3.1</t>
  </si>
  <si>
    <t>2.16.840.1.113883.10.20.22.2.4.1</t>
  </si>
  <si>
    <t>2.16.840.1.113883.10.20.22.4.109</t>
  </si>
  <si>
    <t>2.16.840.1.113883.10.20.22.2.13</t>
  </si>
  <si>
    <t>1.3.6.1.4.1.19376.1.5.3.1.1.13.2.1</t>
  </si>
  <si>
    <t>2.16.840.1.113883.10.20.6.2.13</t>
  </si>
  <si>
    <t>2.16.840.1.113883.10.20.22.4.64</t>
  </si>
  <si>
    <t>2.16.840.1.113883.10.20.22.4.303</t>
  </si>
  <si>
    <t>2.16.840.1.113883.10.20.22.2.37</t>
  </si>
  <si>
    <t>2.16.840.1.113883.10.20.22.1.4</t>
  </si>
  <si>
    <t>1.3.6.1.4.1.19376.1.5.3.1.3.4</t>
  </si>
  <si>
    <t>2.16.840.1.113883.10.20.22.2.12</t>
  </si>
  <si>
    <t>2.16.840.1.113883.10.20.2.10</t>
  </si>
  <si>
    <t>2.16.840.1.113883.10.20.22.2.64</t>
  </si>
  <si>
    <t>2.16.840.1.113883.10.20.22.4.60</t>
  </si>
  <si>
    <t>2.16.840.1.113883.10.20.22.4.61</t>
  </si>
  <si>
    <t>2.16.840.1.113883.10.20.22.4.87</t>
  </si>
  <si>
    <t>2.16.840.1.113883.10.20.22.4.89</t>
  </si>
  <si>
    <t>2.16.840.1.113883.10.20.22.4.111</t>
  </si>
  <si>
    <t>2.16.840.1.113883.10.20.22.4.502</t>
  </si>
  <si>
    <t>2.16.840.1.113883.10.20.22.4.79</t>
  </si>
  <si>
    <t>2.16.840.1.113883.10.20.22.4.304</t>
  </si>
  <si>
    <t>2.16.840.1.113883.10.20.22.4.122</t>
  </si>
  <si>
    <t>2.16.840.1.113883.10.20.22.4.33</t>
  </si>
  <si>
    <t>2.16.840.1.113883.10.20.22.4.505</t>
  </si>
  <si>
    <t>2.16.840.1.113883.10.20.22.2.24</t>
  </si>
  <si>
    <t>2.16.840.1.113883.10.20.22.4.35</t>
  </si>
  <si>
    <t>2.16.840.1.113883.10.20.22.2.11.1</t>
  </si>
  <si>
    <t>2.16.840.1.113883.10.20.22.1.8</t>
  </si>
  <si>
    <t>1.3.6.1.4.1.19376.1.5.3.1.3.5</t>
  </si>
  <si>
    <t>2.16.840.1.113883.10.20.22.2.10</t>
  </si>
  <si>
    <t>2.16.840.1.113883.10.20.22.2.42</t>
  </si>
  <si>
    <t>2.16.840.1.113883.10.20.22.2.7.1</t>
  </si>
  <si>
    <t>2.16.840.1.113883.10.20.22.4.308</t>
  </si>
  <si>
    <t>2.16.840.1.113883.10.20.22.4.123</t>
  </si>
  <si>
    <t>2.16.840.1.113883.10.20.22.4.24</t>
  </si>
  <si>
    <t>2.16.840.1.113883.10.20.22.4.32</t>
  </si>
  <si>
    <t>2.16.840.1.113883.10.20.22.4.19</t>
  </si>
  <si>
    <t>2.16.840.1.113883.10.20.22.4.80</t>
  </si>
  <si>
    <t>2.16.840.1.113883.10.20.22.4.132</t>
  </si>
  <si>
    <t>2.16.840.1.113883.10.20.15.3.1</t>
  </si>
  <si>
    <t>2.16.840.1.113883.10.20.22.4.115</t>
  </si>
  <si>
    <t>2.16.840.1.113883.10.20.22.4.47</t>
  </si>
  <si>
    <t>2.16.840.1.113883.10.20.22.4.46</t>
  </si>
  <si>
    <t>2.16.840.1.113883.10.20.22.4.45</t>
  </si>
  <si>
    <t>2.16.840.1.113883.10.20.22.2.15</t>
  </si>
  <si>
    <t>2.16.840.1.113883.10.20.22.4.67</t>
  </si>
  <si>
    <t>2.16.840.1.113883.10.20.22.4.66</t>
  </si>
  <si>
    <t>2.16.840.1.113883.10.20.22.4.128</t>
  </si>
  <si>
    <t>2.16.840.1.113883.10.20.22.2.14</t>
  </si>
  <si>
    <t>2.16.840.1.113883.10.20.22.4.127</t>
  </si>
  <si>
    <t>2.16.840.1.113883.10.20.34.3.45</t>
  </si>
  <si>
    <t>2.16.840.1.113883.10.20.2.5</t>
  </si>
  <si>
    <t>2.16.840.1.113883.10.20.22.4.121</t>
  </si>
  <si>
    <t>2.16.840.1.113883.10.20.22.4.143</t>
  </si>
  <si>
    <t>2.16.840.1.113883.10.20.22.4.141</t>
  </si>
  <si>
    <t>2.16.840.1.113883.10.20.22.4.85</t>
  </si>
  <si>
    <t>2.16.840.1.113883.10.20.22.4.5</t>
  </si>
  <si>
    <t>2.16.840.1.113883.10.20.22.4.77</t>
  </si>
  <si>
    <t>2.16.840.1.113883.10.20.22.1.3</t>
  </si>
  <si>
    <t>2.16.840.1.113883.10.20.22.2.20</t>
  </si>
  <si>
    <t>1.3.6.1.4.1.19376.1.5.3.1.3.18</t>
  </si>
  <si>
    <t>2.16.840.1.113883.10.20.22.2.41</t>
  </si>
  <si>
    <t>1.3.6.1.4.1.19376.1.5.3.1.3.26</t>
  </si>
  <si>
    <t>2.16.840.1.113883.10.20.22.2.16</t>
  </si>
  <si>
    <t>2.16.840.1.113883.10.20.22.4.52</t>
  </si>
  <si>
    <t>2.16.840.1.113883.10.20.22.4.54</t>
  </si>
  <si>
    <t>2.16.840.1.113883.10.20.22.4.53</t>
  </si>
  <si>
    <t>2.16.840.1.113883.10.20.22.2.2.1</t>
  </si>
  <si>
    <t>2.16.840.1.113883.10.20.22.4.305</t>
  </si>
  <si>
    <t>2.16.840.1.113883.10.20.22.4.515</t>
  </si>
  <si>
    <t>2.16.840.1.113883.10.20.22.2.45</t>
  </si>
  <si>
    <t>2.16.840.1.113883.10.20.22.4.20</t>
  </si>
  <si>
    <t>2.16.840.1.113883.10.20.22.4.131</t>
  </si>
  <si>
    <t>2.16.840.1.113883.10.20.22.4.314</t>
  </si>
  <si>
    <t>2.16.840.1.113883.10.20.22.4.114</t>
  </si>
  <si>
    <t>2.16.840.1.113883.10.20.22.4.315</t>
  </si>
  <si>
    <t>2.16.840.1.113883.10.20.22.4.316</t>
  </si>
  <si>
    <t>2.16.840.1.113883.10.20.22.4.135</t>
  </si>
  <si>
    <t>2.16.840.1.113883.10.20.22.4.50</t>
  </si>
  <si>
    <t>2.16.840.1.113883.10.20.22.2.23</t>
  </si>
  <si>
    <t>2.16.840.1.113883.10.20.22.4.37</t>
  </si>
  <si>
    <t>2.16.840.1.113883.10.20.22.4.508</t>
  </si>
  <si>
    <t>2.16.840.1.113883.10.20.22.4.18</t>
  </si>
  <si>
    <t>2.16.840.1.113883.10.20.22.4.147</t>
  </si>
  <si>
    <t>2.16.840.1.113883.10.20.22.4.17</t>
  </si>
  <si>
    <t>2.16.840.1.113883.10.20.22.2.38</t>
  </si>
  <si>
    <t>2.16.840.1.113883.10.20.22.4.74</t>
  </si>
  <si>
    <t>2.16.840.1.113883.10.20.22.4.75</t>
  </si>
  <si>
    <t>2.16.840.1.113883.10.20.22.2.56</t>
  </si>
  <si>
    <t>2.16.840.1.113883.10.20.22.4.317</t>
  </si>
  <si>
    <t>2.16.840.1.113883.10.20.22.4.318</t>
  </si>
  <si>
    <t>2.16.840.1.113883.10.20.22.4.3</t>
  </si>
  <si>
    <t>2.16.840.1.113883.10.20.22.4.202</t>
  </si>
  <si>
    <t>2.16.840.1.113883.10.20.22.2.65</t>
  </si>
  <si>
    <t>2.16.840.1.113883.10.20.22.4.76</t>
  </si>
  <si>
    <t>2.16.840.1.113883.10.20.22.4.138</t>
  </si>
  <si>
    <t>2.16.840.1.113883.10.20.22.4.130</t>
  </si>
  <si>
    <t>2.16.840.1.113883.10.20.22.2.57</t>
  </si>
  <si>
    <t>2.16.840.1.113883.10.20.22.4.124</t>
  </si>
  <si>
    <t>2.16.840.1.113883.10.20.21.2.1</t>
  </si>
  <si>
    <t>2.16.840.1.113883.10.20.7.12</t>
  </si>
  <si>
    <t>2.16.840.1.113883.10.20.22.1.7</t>
  </si>
  <si>
    <t>2.16.840.1.113883.10.20.22.2.34</t>
  </si>
  <si>
    <t>2.16.840.1.113883.10.20.18.2.9</t>
  </si>
  <si>
    <t>2.16.840.1.113883.10.20.22.2.28</t>
  </si>
  <si>
    <t>2.16.840.1.113883.10.20.22.2.31</t>
  </si>
  <si>
    <t>2.16.840.1.113883.10.20.22.2.27</t>
  </si>
  <si>
    <t>2.16.840.1.113883.10.20.22.2.35</t>
  </si>
  <si>
    <t>2.16.840.1.113883.10.20.7.14</t>
  </si>
  <si>
    <t>2.16.840.1.113883.10.20.22.4.144</t>
  </si>
  <si>
    <t>2.16.840.1.113883.10.20.29.1</t>
  </si>
  <si>
    <t>2.16.840.1.113883.10.20.22.2.18</t>
  </si>
  <si>
    <t>2.16.840.1.113883.10.20.22.4.40</t>
  </si>
  <si>
    <t>2.16.840.1.113883.10.20.22.4.129</t>
  </si>
  <si>
    <t>2.16.840.1.113883.10.20.22.4.120</t>
  </si>
  <si>
    <t>2.16.840.1.113883.10.20.22.4.146</t>
  </si>
  <si>
    <t>2.16.840.1.113883.10.20.22.4.42</t>
  </si>
  <si>
    <t>2.16.840.1.113883.10.20.22.2.30</t>
  </si>
  <si>
    <t>2.16.840.1.113883.10.20.22.4.43</t>
  </si>
  <si>
    <t>2.16.840.1.113883.10.20.22.4.88</t>
  </si>
  <si>
    <t>2.16.840.1.113883.10.20.22.4.90</t>
  </si>
  <si>
    <t>2.16.840.1.113883.10.20.22.4.51</t>
  </si>
  <si>
    <t>2.16.840.1.113883.10.20.22.2.36</t>
  </si>
  <si>
    <t>2.16.840.1.113883.10.20.22.4.25</t>
  </si>
  <si>
    <t>2.16.840.1.113883.10.20.22.4.281</t>
  </si>
  <si>
    <t>2.16.840.1.113883.10.20.15.3.8</t>
  </si>
  <si>
    <t>2.16.840.1.113883.10.20.22.4.65</t>
  </si>
  <si>
    <t>2.16.840.1.113883.10.20.18.2.12</t>
  </si>
  <si>
    <t>2.16.840.1.113883.10.20.22.2.40</t>
  </si>
  <si>
    <t>2.16.840.1.113883.10.20.22.2.29</t>
  </si>
  <si>
    <t>2.16.840.1.113883.10.20.22.1.6</t>
  </si>
  <si>
    <t>2.16.840.1.113883.10.20.22.4.113</t>
  </si>
  <si>
    <t>2.16.840.1.113883.10.20.22.1.9</t>
  </si>
  <si>
    <t>2.16.840.1.113883.10.20.21.3.1</t>
  </si>
  <si>
    <t>2.16.840.1.113883.10.20.22.4.110</t>
  </si>
  <si>
    <t>2.16.840.1.113883.10.20.22.5.7</t>
  </si>
  <si>
    <t>2.16.840.1.113883.10.20.24.3.88</t>
  </si>
  <si>
    <t>1.3.6.1.4.1.19376.1.5.3.1.3.1</t>
  </si>
  <si>
    <t>2.16.840.1.113883.10.20.22.4.140</t>
  </si>
  <si>
    <t>2.16.840.1.113883.10.20.22.1.14</t>
  </si>
  <si>
    <t>2.16.840.1.113883.10.20.22.4.2</t>
  </si>
  <si>
    <t>2.16.840.1.113883.10.20.22.4.1</t>
  </si>
  <si>
    <t>2.16.840.1.113883.10.20.22.4.415</t>
  </si>
  <si>
    <t>2.16.840.1.113883.10.20.22.4.421</t>
  </si>
  <si>
    <t>2.16.840.1.113883.10.20.22.4.136</t>
  </si>
  <si>
    <t>2.16.840.1.113883.10.20.22.4.68.99999</t>
  </si>
  <si>
    <t>2.16.840.1.113883.10.20.22.4.319</t>
  </si>
  <si>
    <t>2.16.840.1.113883.10.20.22.4.507</t>
  </si>
  <si>
    <t>2.16.840.1.113883.10.20.22.4.501</t>
  </si>
  <si>
    <t>2.16.840.1.113883.10.20.22.4.511</t>
  </si>
  <si>
    <t>2.16.840.1.113883.10.20.22.4.78</t>
  </si>
  <si>
    <t>2.16.840.1.113883.10.20.21.2.2</t>
  </si>
  <si>
    <t>2.16.840.1.113883.10.20.22.4.118</t>
  </si>
  <si>
    <t>2.16.840.1.113883.10.20.7.13</t>
  </si>
  <si>
    <t>2.16.840.1.113883.10.20.22.1.13</t>
  </si>
  <si>
    <t>2.16.840.1.113883.10.20.22.4.506</t>
  </si>
  <si>
    <t>2.16.840.1.113883.10.20.22.4.311</t>
  </si>
  <si>
    <t>2.16.840.1.113883.10.20.22.4.309</t>
  </si>
  <si>
    <t>2.16.840.1.113883.10.20.22.4.26</t>
  </si>
  <si>
    <t>2.16.840.1.113883.10.20.22.4.134</t>
  </si>
  <si>
    <t>2.16.840.1.113883.10.20.22.4.133</t>
  </si>
  <si>
    <t>Template_Desc</t>
  </si>
  <si>
    <t>Template_Type</t>
  </si>
  <si>
    <t>Template_OID</t>
  </si>
  <si>
    <t xml:space="preserve">Care Plan </t>
  </si>
  <si>
    <t>Document</t>
  </si>
  <si>
    <t xml:space="preserve">Consultation Note  </t>
  </si>
  <si>
    <t xml:space="preserve">Continuity of Care Document (CCD)  </t>
  </si>
  <si>
    <t xml:space="preserve">Diagnostic Imaging Report  </t>
  </si>
  <si>
    <t>2.16.840.1.113883.10.20.22.1.5</t>
  </si>
  <si>
    <t xml:space="preserve">Discharge Summary </t>
  </si>
  <si>
    <t xml:space="preserve">History and Physical  </t>
  </si>
  <si>
    <t xml:space="preserve">Operative Note  </t>
  </si>
  <si>
    <t xml:space="preserve">Procedure Note  </t>
  </si>
  <si>
    <t xml:space="preserve">Progress Note </t>
  </si>
  <si>
    <t xml:space="preserve">Referral Note </t>
  </si>
  <si>
    <t xml:space="preserve">Transfer Summary  </t>
  </si>
  <si>
    <t xml:space="preserve">Unstructured Document  </t>
  </si>
  <si>
    <t>2.16.840.1.113883.10.20.22.1.10</t>
  </si>
  <si>
    <t>US Realm Header (Companion Guide)</t>
  </si>
  <si>
    <t>US Realm Header for Patient Generated Document (Companion Guide)</t>
  </si>
  <si>
    <t xml:space="preserve">Admission Diagnosis Section </t>
  </si>
  <si>
    <t>Section</t>
  </si>
  <si>
    <t xml:space="preserve">Admission Medications Section (entries optional)  </t>
  </si>
  <si>
    <t>2.16.840.1.113883.10.20.22.2.44</t>
  </si>
  <si>
    <t xml:space="preserve">Advance Directives Section (entries optional) </t>
  </si>
  <si>
    <t>2.16.840.1.113883.10.20.22.2.21</t>
  </si>
  <si>
    <t xml:space="preserve">Advance Directives Section (entries required) </t>
  </si>
  <si>
    <t xml:space="preserve">Allergies and Intolerances Section (entries optional)  </t>
  </si>
  <si>
    <t>2.16.840.1.113883.10.20.22.2.6</t>
  </si>
  <si>
    <t xml:space="preserve">Allergies and Intolerances Section (entries required) </t>
  </si>
  <si>
    <t xml:space="preserve">Anesthesia Section </t>
  </si>
  <si>
    <t xml:space="preserve">Assessment and Plan Section  </t>
  </si>
  <si>
    <t xml:space="preserve">Assessment Section </t>
  </si>
  <si>
    <t>Care Teams Section (Companion Guide)</t>
  </si>
  <si>
    <t xml:space="preserve">Chief Complaint and Reason for Visit Section </t>
  </si>
  <si>
    <t>Chief Complaint Section</t>
  </si>
  <si>
    <t xml:space="preserve">Complications Section </t>
  </si>
  <si>
    <t>Course of Care Section</t>
  </si>
  <si>
    <t xml:space="preserve">DICOM Object Catalog Section - DCM 121181 </t>
  </si>
  <si>
    <t>2.16.840.1.113883.10.20.6.1.1</t>
  </si>
  <si>
    <t xml:space="preserve">Discharge Diagnosis Section </t>
  </si>
  <si>
    <t xml:space="preserve">Discharge Diet Section (DEPRECATED) </t>
  </si>
  <si>
    <t>1.3.6.1.4.1.19376.1.5.3.1.3.33</t>
  </si>
  <si>
    <t xml:space="preserve">Discharge Medications Section (entries optional) </t>
  </si>
  <si>
    <t>2.16.840.1.113883.10.20.22.2.11</t>
  </si>
  <si>
    <t xml:space="preserve">Discharge Medications Section (entries required)  </t>
  </si>
  <si>
    <t xml:space="preserve">Encounters Section (entries optional) </t>
  </si>
  <si>
    <t>2.16.840.1.113883.10.20.22.2.22</t>
  </si>
  <si>
    <t xml:space="preserve">Encounters Section (entries required)  </t>
  </si>
  <si>
    <t xml:space="preserve">Family History Section  </t>
  </si>
  <si>
    <t>Fetus Subject Context</t>
  </si>
  <si>
    <t>2.16.840.1.113883.10.20.6.2.3</t>
  </si>
  <si>
    <t>Findings Section (DIR)</t>
  </si>
  <si>
    <t>2.16.840.1.113883.10.20.6.1.2</t>
  </si>
  <si>
    <t xml:space="preserve">Functional Status Section  </t>
  </si>
  <si>
    <t>General Status Section</t>
  </si>
  <si>
    <t>Goals Section</t>
  </si>
  <si>
    <t xml:space="preserve">Health Concerns Section  </t>
  </si>
  <si>
    <t>Health Status Evaluations and Outcomes Section</t>
  </si>
  <si>
    <t>History of Present Illness Section</t>
  </si>
  <si>
    <t>Hospital Consultations Section</t>
  </si>
  <si>
    <t xml:space="preserve">Hospital Course Section </t>
  </si>
  <si>
    <t xml:space="preserve">Hospital Discharge Instructions Section </t>
  </si>
  <si>
    <t xml:space="preserve">Hospital Discharge Physical Section </t>
  </si>
  <si>
    <t>Hospital Discharge Studies Summary Section</t>
  </si>
  <si>
    <t xml:space="preserve">Immunizations Section (entries optional)  </t>
  </si>
  <si>
    <t>2.16.840.1.113883.10.20.22.2.2</t>
  </si>
  <si>
    <t xml:space="preserve">Immunizations Section (entries required) </t>
  </si>
  <si>
    <t xml:space="preserve">Implants Section (DEPRECATED) </t>
  </si>
  <si>
    <t>2.16.840.1.113883.10.20.22.2.33</t>
  </si>
  <si>
    <t xml:space="preserve">Instructions Section  </t>
  </si>
  <si>
    <t xml:space="preserve">Interventions Section </t>
  </si>
  <si>
    <t>2.16.840.1.113883.10.20.21.2.3</t>
  </si>
  <si>
    <t xml:space="preserve">Medical (General) History Section </t>
  </si>
  <si>
    <t>2.16.840.1.113883.10.20.22.2.39</t>
  </si>
  <si>
    <t xml:space="preserve">Medical Equipment Section  </t>
  </si>
  <si>
    <t xml:space="preserve">Medications Administered Section  </t>
  </si>
  <si>
    <t xml:space="preserve">Medications Section (entries optional) </t>
  </si>
  <si>
    <t>2.16.840.1.113883.10.20.22.2.1</t>
  </si>
  <si>
    <t xml:space="preserve">Medications Section (entries required)  </t>
  </si>
  <si>
    <t xml:space="preserve">Mental Status Section  </t>
  </si>
  <si>
    <t>Notes Section (Companion Guide)</t>
  </si>
  <si>
    <t>Nutrition Section</t>
  </si>
  <si>
    <t>Objective Section</t>
  </si>
  <si>
    <t xml:space="preserve">Observer Context </t>
  </si>
  <si>
    <t>2.16.840.1.113883.10.20.6.2.4</t>
  </si>
  <si>
    <t>Operative Note Fluids Section</t>
  </si>
  <si>
    <t>Operative Note Surgical Procedure Section</t>
  </si>
  <si>
    <t xml:space="preserve">Past Medical History </t>
  </si>
  <si>
    <t xml:space="preserve">Payers Section </t>
  </si>
  <si>
    <t xml:space="preserve">Physical Exam Section  </t>
  </si>
  <si>
    <t xml:space="preserve">Plan of Treatment Section </t>
  </si>
  <si>
    <t xml:space="preserve">Planned Procedure Section  </t>
  </si>
  <si>
    <t>Postoperative Diagnosis Section</t>
  </si>
  <si>
    <t xml:space="preserve">Postprocedure Diagnosis Section  </t>
  </si>
  <si>
    <t xml:space="preserve">Preoperative Diagnosis Section  </t>
  </si>
  <si>
    <t xml:space="preserve">Problem Section (entries optional) </t>
  </si>
  <si>
    <t>2.16.840.1.113883.10.20.22.2.5</t>
  </si>
  <si>
    <t xml:space="preserve">Problem Section (entries required)  </t>
  </si>
  <si>
    <t>Procedure Description Section</t>
  </si>
  <si>
    <t xml:space="preserve">Procedure Disposition Section </t>
  </si>
  <si>
    <t>Procedure Estimated Blood Loss Section</t>
  </si>
  <si>
    <t xml:space="preserve">Procedure Findings Section  </t>
  </si>
  <si>
    <t>Procedure Implants Section</t>
  </si>
  <si>
    <t xml:space="preserve">Procedure Indications Section </t>
  </si>
  <si>
    <t>Procedure Specimens Taken Section</t>
  </si>
  <si>
    <t xml:space="preserve">Procedures Section (entries optional)  </t>
  </si>
  <si>
    <t>2.16.840.1.113883.10.20.22.2.7</t>
  </si>
  <si>
    <t xml:space="preserve">Procedures Section (entries required) </t>
  </si>
  <si>
    <t xml:space="preserve">Reason for Referral Section </t>
  </si>
  <si>
    <t>Reason for Visit Section</t>
  </si>
  <si>
    <t xml:space="preserve">Results Section (entries optional) </t>
  </si>
  <si>
    <t>2.16.840.1.113883.10.20.22.2.3</t>
  </si>
  <si>
    <t xml:space="preserve">Results Section (entries required)  </t>
  </si>
  <si>
    <t>Review of Systems Section</t>
  </si>
  <si>
    <t xml:space="preserve">Social History Section </t>
  </si>
  <si>
    <t>Subjective Section</t>
  </si>
  <si>
    <t xml:space="preserve">Surgery Description Section (DEPRECATED) </t>
  </si>
  <si>
    <t>2.16.840.1.113883.10.20.22.2.26</t>
  </si>
  <si>
    <t>Surgical Drains Section</t>
  </si>
  <si>
    <t xml:space="preserve">Vital Signs Section (entries optional) </t>
  </si>
  <si>
    <t>2.16.840.1.113883.10.20.22.2.4</t>
  </si>
  <si>
    <t xml:space="preserve">Vital Signs Section (entries required)  </t>
  </si>
  <si>
    <t xml:space="preserve">Admission Medication  </t>
  </si>
  <si>
    <t>Entry</t>
  </si>
  <si>
    <t xml:space="preserve">Advance Directive Observation  </t>
  </si>
  <si>
    <t xml:space="preserve">Advance Directive Organizer </t>
  </si>
  <si>
    <t>2.16.840.1.113883.10.20.22.4.108</t>
  </si>
  <si>
    <t>Age Observation</t>
  </si>
  <si>
    <t xml:space="preserve">Allergy - Intolerance Observation </t>
  </si>
  <si>
    <t xml:space="preserve">Allergy Concern Act </t>
  </si>
  <si>
    <t xml:space="preserve">Allergy Status Observation </t>
  </si>
  <si>
    <t>2.16.840.1.113883.10.20.22.4.28</t>
  </si>
  <si>
    <t>Assessment Scale Observation (Companion Guide)</t>
  </si>
  <si>
    <t>Assessment Scale Supporting Observation (Companion Guide)</t>
  </si>
  <si>
    <t>Authorization Activity</t>
  </si>
  <si>
    <t>Basic Industry Observation (Companion Guide)</t>
  </si>
  <si>
    <t>Basic Occupation Observation (Companion Guide)</t>
  </si>
  <si>
    <t>Birth Sex Observation (Companion Guide)</t>
  </si>
  <si>
    <t xml:space="preserve">Boundary Observation </t>
  </si>
  <si>
    <t>2.16.840.1.113883.10.20.6.2.11</t>
  </si>
  <si>
    <t>Brand Name Observation (Companion Guide)</t>
  </si>
  <si>
    <t>Care Team Member Act (Companion Guide)</t>
  </si>
  <si>
    <t>Care Team Member Schedule Observation (Companion Guide)</t>
  </si>
  <si>
    <t>Care Team Organizer (Companion Guide)</t>
  </si>
  <si>
    <t>Care Team Type Observation (Companion Guide)</t>
  </si>
  <si>
    <t xml:space="preserve">Caregiver Characteristics </t>
  </si>
  <si>
    <t>Catalog Number Observation (Companion Guide)</t>
  </si>
  <si>
    <t>Characteristics of Home Environment</t>
  </si>
  <si>
    <t xml:space="preserve">Code Observations </t>
  </si>
  <si>
    <t xml:space="preserve">Cognitive Status Problem Observation (DEPRECATED) </t>
  </si>
  <si>
    <t>2.16.840.1.113883.10.20.22.4.73</t>
  </si>
  <si>
    <t>Comment Activity</t>
  </si>
  <si>
    <t>Company Name Observation (Companion Guide)</t>
  </si>
  <si>
    <t>Coverage Activity (Companion Guide)</t>
  </si>
  <si>
    <t>Criticality Observation</t>
  </si>
  <si>
    <t xml:space="preserve">Cultural and Religious Observation </t>
  </si>
  <si>
    <t>Date of Diagnosis Act (Companion Guide)</t>
  </si>
  <si>
    <t xml:space="preserve">Deceased Observation  </t>
  </si>
  <si>
    <t>Device Identifier Observation (Companion Guide)</t>
  </si>
  <si>
    <t>Disability Status Observation (Companion Guide)</t>
  </si>
  <si>
    <t xml:space="preserve">Discharge Medication </t>
  </si>
  <si>
    <t>Distinct Identification Code Observation (Companion Guide)</t>
  </si>
  <si>
    <t>Drug Monitoring Act</t>
  </si>
  <si>
    <t xml:space="preserve">Drug Vehicle </t>
  </si>
  <si>
    <t xml:space="preserve">Encounter Activity </t>
  </si>
  <si>
    <t xml:space="preserve">Encounter Diagnosis </t>
  </si>
  <si>
    <t xml:space="preserve">Entry Reference </t>
  </si>
  <si>
    <t xml:space="preserve">Estimated Date of Delivery </t>
  </si>
  <si>
    <t>Expiration Date Observation (Companion Guide)</t>
  </si>
  <si>
    <t xml:space="preserve">External Document Reference </t>
  </si>
  <si>
    <t xml:space="preserve">Family History Death Observation </t>
  </si>
  <si>
    <t xml:space="preserve">Family History Observation  </t>
  </si>
  <si>
    <t xml:space="preserve">Family History Organizer </t>
  </si>
  <si>
    <t xml:space="preserve">Functional Status Observation  </t>
  </si>
  <si>
    <t xml:space="preserve">Functional Status Organizer </t>
  </si>
  <si>
    <t>Functional Status Problem Observation (DEPRECATED)</t>
  </si>
  <si>
    <t>2.16.840.1.113883.10.20.22.4.68</t>
  </si>
  <si>
    <t>Gender Identity Observation (Companion Guide)</t>
  </si>
  <si>
    <t>Goal Observation (Companion Guide)</t>
  </si>
  <si>
    <t xml:space="preserve">Handoff Communication Participants </t>
  </si>
  <si>
    <t>Health Concern Act (Companion Guide)</t>
  </si>
  <si>
    <t xml:space="preserve">Health Status Observation </t>
  </si>
  <si>
    <t>Highest Pressure Ulcer Stage</t>
  </si>
  <si>
    <t xml:space="preserve">Hospital Admission Diagnosis </t>
  </si>
  <si>
    <t xml:space="preserve">Hospital Discharge Diagnosis  </t>
  </si>
  <si>
    <t xml:space="preserve">Immunization Activity  </t>
  </si>
  <si>
    <t xml:space="preserve">Immunization Medication Information  </t>
  </si>
  <si>
    <t xml:space="preserve">Immunization Refusal Reason </t>
  </si>
  <si>
    <t>Implantable Device Status Observation (Companion Guide)</t>
  </si>
  <si>
    <t>Indication  (Companion Guide)</t>
  </si>
  <si>
    <t xml:space="preserve">Instruction </t>
  </si>
  <si>
    <t xml:space="preserve">Intervention Act  </t>
  </si>
  <si>
    <t>Latex Safety Observation (Companion Guide)</t>
  </si>
  <si>
    <t xml:space="preserve">Longitudinal Care Wound Observation  </t>
  </si>
  <si>
    <t>Lot or Batch Number Observation (Companion Guide)</t>
  </si>
  <si>
    <t>Manufacturing Date Observation (Companion Guide)</t>
  </si>
  <si>
    <t>Medical Equipment Organizer</t>
  </si>
  <si>
    <t xml:space="preserve">Medication Activity </t>
  </si>
  <si>
    <t>Medication Dispense (Companion Guide)</t>
  </si>
  <si>
    <t xml:space="preserve">Medication Free Text Sig </t>
  </si>
  <si>
    <t xml:space="preserve">Medication Information  </t>
  </si>
  <si>
    <t xml:space="preserve">Medication Supply Order </t>
  </si>
  <si>
    <t xml:space="preserve">Mental Status Observation  </t>
  </si>
  <si>
    <t xml:space="preserve">Mental Status Organizer </t>
  </si>
  <si>
    <t>Model Number Observation (Companion Guide)</t>
  </si>
  <si>
    <t>MRI Safety Observation (Companion Guide)</t>
  </si>
  <si>
    <t xml:space="preserve">Non-Medicinal Supply Activity </t>
  </si>
  <si>
    <t>Note Activity (Companion Guide)</t>
  </si>
  <si>
    <t xml:space="preserve">Number of Pressure Ulcers Observation </t>
  </si>
  <si>
    <t>Nutrition Assessment</t>
  </si>
  <si>
    <t>Nutrition Recommendation</t>
  </si>
  <si>
    <t>Nutritional Status Observation</t>
  </si>
  <si>
    <t>Outcome Observation</t>
  </si>
  <si>
    <t xml:space="preserve">Patient Referral Act </t>
  </si>
  <si>
    <t xml:space="preserve">Planned Act  </t>
  </si>
  <si>
    <t>2.16.840.1.113883.10.20.22.4.39</t>
  </si>
  <si>
    <t>Planned Coverage</t>
  </si>
  <si>
    <t xml:space="preserve">Planned Encounter  </t>
  </si>
  <si>
    <t xml:space="preserve">Planned Immunization Activity </t>
  </si>
  <si>
    <t xml:space="preserve">Planned Intervention Act  </t>
  </si>
  <si>
    <t xml:space="preserve">Planned Medication Activity </t>
  </si>
  <si>
    <t xml:space="preserve">Planned Observation  </t>
  </si>
  <si>
    <t>2.16.840.1.113883.10.20.22.4.44</t>
  </si>
  <si>
    <t>Planned Procedure (Companion Guide)</t>
  </si>
  <si>
    <t xml:space="preserve">Planned Supply </t>
  </si>
  <si>
    <t>Policy Activity (Companion Guide)</t>
  </si>
  <si>
    <t xml:space="preserve">Postprocedure Diagnosis  </t>
  </si>
  <si>
    <t xml:space="preserve">Precondition for Substance Administration  </t>
  </si>
  <si>
    <t>Pregnancy Intention in Next Year (Companion Guide)</t>
  </si>
  <si>
    <t>Pregnancy Observation</t>
  </si>
  <si>
    <t xml:space="preserve">Preoperative Diagnosis  </t>
  </si>
  <si>
    <t xml:space="preserve">Pressure Ulcer Observation (DEPRECATED) </t>
  </si>
  <si>
    <t>2.16.840.1.113883.10.20.22.4.70</t>
  </si>
  <si>
    <t>Priority Preference</t>
  </si>
  <si>
    <t xml:space="preserve">Problem Concern Act </t>
  </si>
  <si>
    <t>Problem Observation (Companion Guide)</t>
  </si>
  <si>
    <t xml:space="preserve">Problem Status </t>
  </si>
  <si>
    <t>2.16.840.1.113883.10.20.22.4.6</t>
  </si>
  <si>
    <t xml:space="preserve">Procedure Activity Act  </t>
  </si>
  <si>
    <t>2.16.840.1.113883.10.20.22.4.12</t>
  </si>
  <si>
    <t xml:space="preserve">Procedure Activity Observation  </t>
  </si>
  <si>
    <t>2.16.840.1.113883.10.20.22.4.13</t>
  </si>
  <si>
    <t xml:space="preserve">Procedure Activity Procedure  </t>
  </si>
  <si>
    <t>Procedure Context</t>
  </si>
  <si>
    <t>2.16.840.1.113883.10.20.6.2.5</t>
  </si>
  <si>
    <t>Product Instance</t>
  </si>
  <si>
    <t>Prognosis Observation</t>
  </si>
  <si>
    <t xml:space="preserve">Progress Toward Goal Observation </t>
  </si>
  <si>
    <t>Purpose of Reference Observation</t>
  </si>
  <si>
    <t>2.16.840.1.113883.10.20.6.2.9</t>
  </si>
  <si>
    <t xml:space="preserve">Quantity Measurement Observation </t>
  </si>
  <si>
    <t>2.16.840.1.113883.10.20.6.2.14</t>
  </si>
  <si>
    <t>Reaction Observation (Companion Guide)</t>
  </si>
  <si>
    <t>Reason (Companion Guide)</t>
  </si>
  <si>
    <t>Referenced Frames Observation</t>
  </si>
  <si>
    <t>2.16.840.1.113883.10.20.6.2.10</t>
  </si>
  <si>
    <t xml:space="preserve">Result Observation </t>
  </si>
  <si>
    <t>Result Organizer (Companion Guide)</t>
  </si>
  <si>
    <t>Risk Concern Act (Companion Guide)</t>
  </si>
  <si>
    <t>Section Time Range Observation (Companion Guide)</t>
  </si>
  <si>
    <t>2.16.840.1.113883.10.20.22.4.201</t>
  </si>
  <si>
    <t>Self-Care Activities (ADL and IADL)</t>
  </si>
  <si>
    <t>Sensory Status</t>
  </si>
  <si>
    <t>Serial Number Observation (Companion Guide)</t>
  </si>
  <si>
    <t xml:space="preserve">Series Act </t>
  </si>
  <si>
    <t>2.16.840.1.113883.10.20.22.4.63</t>
  </si>
  <si>
    <t>Service Delivery Location</t>
  </si>
  <si>
    <t xml:space="preserve">Severity Observation  </t>
  </si>
  <si>
    <t>Sex Observation (Companion Guide)</t>
  </si>
  <si>
    <t>Sexual Orientation Observation (Companion Guide)</t>
  </si>
  <si>
    <t xml:space="preserve">Smoking Status - Meaningful Use </t>
  </si>
  <si>
    <t>Social History Observation (Companion Guide)</t>
  </si>
  <si>
    <t>SOP Instance Observation</t>
  </si>
  <si>
    <t>2.16.840.1.113883.10.20.6.2.8</t>
  </si>
  <si>
    <t>Study Act</t>
  </si>
  <si>
    <t>2.16.840.1.113883.10.20.6.2.6</t>
  </si>
  <si>
    <t>Substance Administered Act</t>
  </si>
  <si>
    <t xml:space="preserve">Substance or Device Allergy - Intolerance Observation  </t>
  </si>
  <si>
    <t>Text Observation</t>
  </si>
  <si>
    <t>2.16.840.1.113883.10.20.6.2.12</t>
  </si>
  <si>
    <t xml:space="preserve">Tobacco Use </t>
  </si>
  <si>
    <t>Tribal Affiliation Observation (Companion Guide)</t>
  </si>
  <si>
    <t>UDI Organizer (Companion Guide)</t>
  </si>
  <si>
    <t xml:space="preserve">Vital Sign Observation </t>
  </si>
  <si>
    <t xml:space="preserve">Vital Signs Organizer </t>
  </si>
  <si>
    <t>Wound Characteristic</t>
  </si>
  <si>
    <t>Wound Measurement Observation</t>
  </si>
  <si>
    <t>Author Participation</t>
  </si>
  <si>
    <t>Other</t>
  </si>
  <si>
    <t xml:space="preserve">Physician of Record Participant  </t>
  </si>
  <si>
    <t>2.16.840.1.113883.10.20.6.2.2</t>
  </si>
  <si>
    <t xml:space="preserve">Physician Reading Study Performer  </t>
  </si>
  <si>
    <t>2.16.840.1.113883.10.20.6.2.1</t>
  </si>
  <si>
    <t>Provenance - Assembler Participation (Companion Guide)</t>
  </si>
  <si>
    <t>Provenance - Author Participation (Companion Guide)</t>
  </si>
  <si>
    <t>Related Person Relationship and Name Participant (Companion Guide)</t>
  </si>
  <si>
    <t xml:space="preserve">US Realm Address (AD.US.FIELDED) </t>
  </si>
  <si>
    <t>2.16.840.1.113883.10.20.22.5.2</t>
  </si>
  <si>
    <t>US Realm Date and Time (DT.US.FIELDED)</t>
  </si>
  <si>
    <t>2.16.840.1.113883.10.20.22.5.3</t>
  </si>
  <si>
    <t>US Realm Date and Time (DTM.US.FIELDED)</t>
  </si>
  <si>
    <t>2.16.840.1.113883.10.20.22.5.4</t>
  </si>
  <si>
    <t>US Realm Patient Name (PTN.US.FIELDED)</t>
  </si>
  <si>
    <t>2.16.840.1.113883.10.20.22.5.1</t>
  </si>
  <si>
    <t xml:space="preserve">US Realm Person Name (PN.US.FIELDED) </t>
  </si>
  <si>
    <t>2.16.840.1.113883.10.20.22.5.1.1</t>
  </si>
  <si>
    <t>admission-diagnosis-section-example</t>
  </si>
  <si>
    <t>admission-medication-example</t>
  </si>
  <si>
    <t>advance-directive-existence-observation-example</t>
  </si>
  <si>
    <t>advance-directive-observation-example</t>
  </si>
  <si>
    <t>advance-directives-section-example</t>
  </si>
  <si>
    <t>age-observation-example</t>
  </si>
  <si>
    <t>allergies-and-intolerances-section-example</t>
  </si>
  <si>
    <t>allergy-concern-act-example</t>
  </si>
  <si>
    <t>allergy-intolerance-observation-drugclass-example</t>
  </si>
  <si>
    <t>allergy-intolerance-observation-medication-example</t>
  </si>
  <si>
    <t>allergy-intolerance-observation-nonmedication-example</t>
  </si>
  <si>
    <t>allergy-to-food-egg</t>
  </si>
  <si>
    <t>anesthesia-section-example</t>
  </si>
  <si>
    <t>assessment-and-plan-section-example</t>
  </si>
  <si>
    <t>assessment-scale-observation-example</t>
  </si>
  <si>
    <t>assessment-scale-supporting-observation-example</t>
  </si>
  <si>
    <t>assessment-section-example</t>
  </si>
  <si>
    <t>authorization-activity-example</t>
  </si>
  <si>
    <t>average-bp-example</t>
  </si>
  <si>
    <t>basic-industry-observation-example</t>
  </si>
  <si>
    <t>basic-occupation-observation-example</t>
  </si>
  <si>
    <t>birth-sex-example-nullflavor</t>
  </si>
  <si>
    <t>birth-sex-example</t>
  </si>
  <si>
    <t>brand-name-observation-example</t>
  </si>
  <si>
    <t>care-plan-complete-example</t>
  </si>
  <si>
    <t>care-team-member-act-example</t>
  </si>
  <si>
    <t>care-team-member-schedule-observation-example</t>
  </si>
  <si>
    <t>care-team-organizer-example</t>
  </si>
  <si>
    <t>care-team-type-example</t>
  </si>
  <si>
    <t>care-teams-section-example</t>
  </si>
  <si>
    <t>caregiver-characteristics-example</t>
  </si>
  <si>
    <t>catalog-number-observation-example</t>
  </si>
  <si>
    <t>ccd-header-example</t>
  </si>
  <si>
    <t>characteristics-of-home-environment-example</t>
  </si>
  <si>
    <t>chief-complaint-and-reason-for-visit-section-example</t>
  </si>
  <si>
    <t>chief-complaint-section-example</t>
  </si>
  <si>
    <t>code-observation-example</t>
  </si>
  <si>
    <t>comment-activity-example</t>
  </si>
  <si>
    <t>company-name-example</t>
  </si>
  <si>
    <t>complications-section-example</t>
  </si>
  <si>
    <t>consultation-note-complete-example</t>
  </si>
  <si>
    <t>course-of-care-section-example</t>
  </si>
  <si>
    <t>coverage-activity-example</t>
  </si>
  <si>
    <t>criticality-observation-example</t>
  </si>
  <si>
    <t>cultural-and-religious-observation-example</t>
  </si>
  <si>
    <t>date-of-diagnosis-act-example</t>
  </si>
  <si>
    <t>deceased-observation-example</t>
  </si>
  <si>
    <t>device-identifier-observation-example</t>
  </si>
  <si>
    <t>diagnosis-reference-example</t>
  </si>
  <si>
    <t>disability-status-observation-example</t>
  </si>
  <si>
    <t>discharge-diagnosis-section-example</t>
  </si>
  <si>
    <t>discharge-medication-example</t>
  </si>
  <si>
    <t>discharge-medications-section-example</t>
  </si>
  <si>
    <t>discharge-summary-header-example</t>
  </si>
  <si>
    <t>distinct-identification-code-observation-example</t>
  </si>
  <si>
    <t>drug-monitoring-act-example</t>
  </si>
  <si>
    <t>drug-vehicle-example</t>
  </si>
  <si>
    <t>encounter-activity-example</t>
  </si>
  <si>
    <t>encounter-diagnosis-example</t>
  </si>
  <si>
    <t>encounters-section-example</t>
  </si>
  <si>
    <t>entry-reference-example</t>
  </si>
  <si>
    <t>estimated-date-of-delivery-example</t>
  </si>
  <si>
    <t>external-document-reference-example</t>
  </si>
  <si>
    <t>family-history-death-observation-example</t>
  </si>
  <si>
    <t>family-history-observation-example</t>
  </si>
  <si>
    <t>family-history-organizer-example</t>
  </si>
  <si>
    <t>family-history-section-example</t>
  </si>
  <si>
    <t>functional-status-observation-example</t>
  </si>
  <si>
    <t>functional-status-organizer-example</t>
  </si>
  <si>
    <t>functional-status-section-example</t>
  </si>
  <si>
    <t>gender-identity-observation-example</t>
  </si>
  <si>
    <t>gender-identity-observation-nullflavor-example</t>
  </si>
  <si>
    <t>general-status-section-example</t>
  </si>
  <si>
    <t>goal-observation-example</t>
  </si>
  <si>
    <t>goals-section-example</t>
  </si>
  <si>
    <t>handoff-communication-example</t>
  </si>
  <si>
    <t>health-concern-act-example</t>
  </si>
  <si>
    <t>health-concerns-section-example</t>
  </si>
  <si>
    <t>health-status-observation-example</t>
  </si>
  <si>
    <t>highest-pressure-ulcer-stage-example</t>
  </si>
  <si>
    <t>history-and-physical-header-example</t>
  </si>
  <si>
    <t>history-of-present-illness-section-example</t>
  </si>
  <si>
    <t>hospital-admission-diagnosis-example</t>
  </si>
  <si>
    <t>hospital-consultations-section-example</t>
  </si>
  <si>
    <t>hospital-course-section-example</t>
  </si>
  <si>
    <t>hospital-discharge-diagnosis-example</t>
  </si>
  <si>
    <t>hospital-discharge-instructions-section-example</t>
  </si>
  <si>
    <t>hospital-discharge-physical-section-example</t>
  </si>
  <si>
    <t>hospital-discharge-studies-summary-section-example</t>
  </si>
  <si>
    <t>immunization-activity-example</t>
  </si>
  <si>
    <t>immunization-medication-information-example</t>
  </si>
  <si>
    <t>immunization-notgiven-reason-example</t>
  </si>
  <si>
    <t>immunizations-section-example</t>
  </si>
  <si>
    <t>implantable-device-status-observation-example</t>
  </si>
  <si>
    <t>indication-example</t>
  </si>
  <si>
    <t>instruction-example</t>
  </si>
  <si>
    <t>instructions-section-example</t>
  </si>
  <si>
    <t>intervention-act-moodcodeint-example</t>
  </si>
  <si>
    <t>latex-safety-observation-example</t>
  </si>
  <si>
    <t>longitudinal-care-wound-observation-example</t>
  </si>
  <si>
    <t>lot-or-batch-number-observation-example</t>
  </si>
  <si>
    <t>manufacturing-date-observation-example</t>
  </si>
  <si>
    <t>medical-equipment-organizer-example</t>
  </si>
  <si>
    <t>medical-equipment-section-example</t>
  </si>
  <si>
    <t>medication-activity-example</t>
  </si>
  <si>
    <t>medication-adherence-example</t>
  </si>
  <si>
    <t>medication-adherence-nullflavor-example</t>
  </si>
  <si>
    <t>medication-dispense-example</t>
  </si>
  <si>
    <t>medication-free-text-sig-example</t>
  </si>
  <si>
    <t>medication-information-example</t>
  </si>
  <si>
    <t>medication-supply-order-example</t>
  </si>
  <si>
    <t>medications-administered-section-example</t>
  </si>
  <si>
    <t>medications-section-example</t>
  </si>
  <si>
    <t>mental-status-observation-example</t>
  </si>
  <si>
    <t>mental-status-organizer-example</t>
  </si>
  <si>
    <t>mental-status-section-example</t>
  </si>
  <si>
    <t>model-number-observation-example</t>
  </si>
  <si>
    <t>mri-safety-observation-example</t>
  </si>
  <si>
    <t>new-author-participant-example</t>
  </si>
  <si>
    <t>no-known-medications-example</t>
  </si>
  <si>
    <t>no-known-problems-section-example</t>
  </si>
  <si>
    <t>non-medicinal-supply-activity-example</t>
  </si>
  <si>
    <t>note-activity-as-entryrelationship-to-ccda-entry-example</t>
  </si>
  <si>
    <t>note-activity-as-standalone-entry-example</t>
  </si>
  <si>
    <t>note-section-example</t>
  </si>
  <si>
    <t>number-of-pressure-ulcers-observation-example</t>
  </si>
  <si>
    <t>nutrition-assessment-example</t>
  </si>
  <si>
    <t>nutrition-recommendation-example</t>
  </si>
  <si>
    <t>nutrition-section-example</t>
  </si>
  <si>
    <t>nutritional-status-observation-example</t>
  </si>
  <si>
    <t>objective-section-example</t>
  </si>
  <si>
    <t>operative-note-fluids-section-example</t>
  </si>
  <si>
    <t>operative-note-header-example</t>
  </si>
  <si>
    <t>operative-note-surgical-procedure-section-example</t>
  </si>
  <si>
    <t>outcome-observation-example</t>
  </si>
  <si>
    <t>outcomes-section-example</t>
  </si>
  <si>
    <t>past-medical-history-example</t>
  </si>
  <si>
    <t>patient-generated-document-informationrecipient</t>
  </si>
  <si>
    <t>payers-section-example</t>
  </si>
  <si>
    <t>physical-exam-section-example</t>
  </si>
  <si>
    <t>plan-of-treatment-section-example</t>
  </si>
  <si>
    <t>planned-coverage-example</t>
  </si>
  <si>
    <t>planned-encounter-example</t>
  </si>
  <si>
    <t>planned-immunization-activity</t>
  </si>
  <si>
    <t>planned-intervention-act-example</t>
  </si>
  <si>
    <t>planned-medication-activity-example</t>
  </si>
  <si>
    <t>planned-procedure-example</t>
  </si>
  <si>
    <t>planned-procedure-section-example</t>
  </si>
  <si>
    <t>planned-supply-example</t>
  </si>
  <si>
    <t>policy-activity-example</t>
  </si>
  <si>
    <t>postoperative-diagnosis-section-example</t>
  </si>
  <si>
    <t>postprocedure-diagnosis-example</t>
  </si>
  <si>
    <t>postprocedure-diagnosis-section-example</t>
  </si>
  <si>
    <t>precondition-for-substance-administration-example</t>
  </si>
  <si>
    <t>pregnancy-intention-in-next-year-example</t>
  </si>
  <si>
    <t>pregnancy-status-observation-example</t>
  </si>
  <si>
    <t>preoperative-diagnosis-example</t>
  </si>
  <si>
    <t>preoperative-diagnosis-section-example</t>
  </si>
  <si>
    <t>priority-preference-example</t>
  </si>
  <si>
    <t>problem-concern-act-example</t>
  </si>
  <si>
    <t>problem-observation-example</t>
  </si>
  <si>
    <t>problem-observation-postcoordsnomed-example</t>
  </si>
  <si>
    <t>problem-section-example</t>
  </si>
  <si>
    <t>procedure-activity-procedure-example</t>
  </si>
  <si>
    <t>procedure-description-section-example</t>
  </si>
  <si>
    <t>procedure-disposition-section-example</t>
  </si>
  <si>
    <t>procedure-estimated-blood-loss-section-example</t>
  </si>
  <si>
    <t>procedure-findings-section-example</t>
  </si>
  <si>
    <t>procedure-implants-section-example</t>
  </si>
  <si>
    <t>procedure-indications-section-example</t>
  </si>
  <si>
    <t>procedure-note-header-example</t>
  </si>
  <si>
    <t>procedure-specimens-taken-section-example</t>
  </si>
  <si>
    <t>procedures-section-example</t>
  </si>
  <si>
    <t>product-instance-example</t>
  </si>
  <si>
    <t>prognosis-coded-example</t>
  </si>
  <si>
    <t>prognosis-free-text-example</t>
  </si>
  <si>
    <t>progress-note-header-example</t>
  </si>
  <si>
    <t>progress-note-serviceevent-example</t>
  </si>
  <si>
    <t>progress-toward-goal-observation-example</t>
  </si>
  <si>
    <t>provenance-assembler-participation-example</t>
  </si>
  <si>
    <t>provenance-author-participation-example</t>
  </si>
  <si>
    <t>reaction-observation-example</t>
  </si>
  <si>
    <t>reason-example</t>
  </si>
  <si>
    <t>reason-for-referral-section-example</t>
  </si>
  <si>
    <t>reason-for-visit-section-example</t>
  </si>
  <si>
    <t>referral-act-example</t>
  </si>
  <si>
    <t>referral-note-header-example</t>
  </si>
  <si>
    <t>related-person-relationship-and-name-example</t>
  </si>
  <si>
    <t>result-observation-example</t>
  </si>
  <si>
    <t>result-organizer-example</t>
  </si>
  <si>
    <t>results-section-example</t>
  </si>
  <si>
    <t>review-of-systems-section-example</t>
  </si>
  <si>
    <t>risk-concern-act-example</t>
  </si>
  <si>
    <t>section-time-range-example</t>
  </si>
  <si>
    <t>self-care-activities-adl-and-iadl-example</t>
  </si>
  <si>
    <t>sensory-and-speech-status-example</t>
  </si>
  <si>
    <t>serial-number-observation-example</t>
  </si>
  <si>
    <t>service-delivery-location-example</t>
  </si>
  <si>
    <t>severity-observation-example</t>
  </si>
  <si>
    <t>sex-observation-example</t>
  </si>
  <si>
    <t>sex-observation-nullflavor-example</t>
  </si>
  <si>
    <t>sexual-orientation-observation-example</t>
  </si>
  <si>
    <t>sexual-orientation-observation-nullflavor-example</t>
  </si>
  <si>
    <t>smoking-status-coded-example</t>
  </si>
  <si>
    <t>smoking-status-meaningful-use-example</t>
  </si>
  <si>
    <t>smoking-status-quantity-example</t>
  </si>
  <si>
    <t>social-history-observation-example</t>
  </si>
  <si>
    <t>social-history-section-example</t>
  </si>
  <si>
    <t>specimen-collection-procedure-example</t>
  </si>
  <si>
    <t>specimen-condition-observation-example</t>
  </si>
  <si>
    <t>subjective-section-example</t>
  </si>
  <si>
    <t>substance-administered-act-example</t>
  </si>
  <si>
    <t>surgical-drains-section-example</t>
  </si>
  <si>
    <t>tobacco-use-example</t>
  </si>
  <si>
    <t>transfer-summary-header-example</t>
  </si>
  <si>
    <t>tribal-affiliation-example</t>
  </si>
  <si>
    <t>udi-organizer-example</t>
  </si>
  <si>
    <t>vital-sign-observation-example</t>
  </si>
  <si>
    <t>vital-signs-organizer-example</t>
  </si>
  <si>
    <t>vital-signs-section-example</t>
  </si>
  <si>
    <t>wound-characteristic-example</t>
  </si>
  <si>
    <t>wound-measurement-observation-example</t>
  </si>
  <si>
    <t>&lt;a html="https://hl7.org/cda/us/ccda/Binary-admission-diagnosis-section-example.html" target="_blank" &gt;admission-diagnosis-section-example&lt;/a&gt;</t>
  </si>
  <si>
    <t>&lt;a html="https://hl7.org/cda/us/ccda/Binary-admission-medication-example.html" target="_blank" &gt;admission-medication-example&lt;/a&gt;</t>
  </si>
  <si>
    <t>&lt;a html="https://hl7.org/cda/us/ccda/Binary-advance-directive-existence-observation-example.html" target="_blank" &gt;advance-directive-existence-observation-example&lt;/a&gt;</t>
  </si>
  <si>
    <t>&lt;a html="https://hl7.org/cda/us/ccda/Binary-advance-directive-observation-example.html" target="_blank" &gt;advance-directive-observation-example&lt;/a&gt;</t>
  </si>
  <si>
    <t>&lt;a html="https://hl7.org/cda/us/ccda/Binary-advance-directives-section-example.html" target="_blank" &gt;advance-directives-section-example&lt;/a&gt;</t>
  </si>
  <si>
    <t>&lt;a html="https://hl7.org/cda/us/ccda/Binary-age-observation-example.html" target="_blank" &gt;age-observation-example&lt;/a&gt;</t>
  </si>
  <si>
    <t>&lt;a html="https://hl7.org/cda/us/ccda/Binary-allergies-and-intolerances-section-example.html" target="_blank" &gt;allergies-and-intolerances-section-example&lt;/a&gt;</t>
  </si>
  <si>
    <t>&lt;a html="https://hl7.org/cda/us/ccda/Binary-allergy-concern-act-example.html" target="_blank" &gt;allergy-concern-act-example&lt;/a&gt;</t>
  </si>
  <si>
    <t>&lt;a html="https://hl7.org/cda/us/ccda/Binary-allergy-intolerance-observation-drugclass-example.html" target="_blank" &gt;allergy-intolerance-observation-drugclass-example&lt;/a&gt;</t>
  </si>
  <si>
    <t>&lt;a html="https://hl7.org/cda/us/ccda/Binary-allergy-intolerance-observation-medication-example.html" target="_blank" &gt;allergy-intolerance-observation-medication-example&lt;/a&gt;</t>
  </si>
  <si>
    <t>&lt;a html="https://hl7.org/cda/us/ccda/Binary-allergy-intolerance-observation-nonmedication-example.html" target="_blank" &gt;allergy-intolerance-observation-nonmedication-example&lt;/a&gt;</t>
  </si>
  <si>
    <t>&lt;a html="https://hl7.org/cda/us/ccda/Binary-allergy-to-food-egg.html" target="_blank" &gt;allergy-to-food-egg&lt;/a&gt;</t>
  </si>
  <si>
    <t>&lt;a html="https://hl7.org/cda/us/ccda/Binary-anesthesia-section-example.html" target="_blank" &gt;anesthesia-section-example&lt;/a&gt;</t>
  </si>
  <si>
    <t>&lt;a html="https://hl7.org/cda/us/ccda/Binary-assessment-and-plan-section-example.html" target="_blank" &gt;assessment-and-plan-section-example&lt;/a&gt;</t>
  </si>
  <si>
    <t>&lt;a html="https://hl7.org/cda/us/ccda/Binary-assessment-scale-observation-example.html" target="_blank" &gt;assessment-scale-observation-example&lt;/a&gt;</t>
  </si>
  <si>
    <t>&lt;a html="https://hl7.org/cda/us/ccda/Binary-assessment-scale-supporting-observation-example.html" target="_blank" &gt;assessment-scale-supporting-observation-example&lt;/a&gt;</t>
  </si>
  <si>
    <t>&lt;a html="https://hl7.org/cda/us/ccda/Binary-assessment-section-example.html" target="_blank" &gt;assessment-section-example&lt;/a&gt;</t>
  </si>
  <si>
    <t>&lt;a html="https://hl7.org/cda/us/ccda/Binary-authorization-activity-example.html" target="_blank" &gt;authorization-activity-example&lt;/a&gt;</t>
  </si>
  <si>
    <t>&lt;a html="https://hl7.org/cda/us/ccda/Binary-average-bp-example.html" target="_blank" &gt;average-bp-example&lt;/a&gt;</t>
  </si>
  <si>
    <t>&lt;a html="https://hl7.org/cda/us/ccda/Binary-basic-industry-observation-example.html" target="_blank" &gt;basic-industry-observation-example&lt;/a&gt;</t>
  </si>
  <si>
    <t>&lt;a html="https://hl7.org/cda/us/ccda/Binary-basic-occupation-observation-example.html" target="_blank" &gt;basic-occupation-observation-example&lt;/a&gt;</t>
  </si>
  <si>
    <t>&lt;a html="https://hl7.org/cda/us/ccda/Binary-birth-sex-example-nullflavor.html" target="_blank" &gt;birth-sex-example-nullflavor&lt;/a&gt;</t>
  </si>
  <si>
    <t>&lt;a html="https://hl7.org/cda/us/ccda/Binary-birth-sex-example.html" target="_blank" &gt;birth-sex-example&lt;/a&gt;</t>
  </si>
  <si>
    <t>&lt;a html="https://hl7.org/cda/us/ccda/Binary-brand-name-observation-example.html" target="_blank" &gt;brand-name-observation-example&lt;/a&gt;</t>
  </si>
  <si>
    <t>&lt;a html="https://hl7.org/cda/us/ccda/Binary-care-plan-complete-example.html" target="_blank" &gt;care-plan-complete-example&lt;/a&gt;</t>
  </si>
  <si>
    <t>&lt;a html="https://hl7.org/cda/us/ccda/Binary-care-team-member-act-example.html" target="_blank" &gt;care-team-member-act-example&lt;/a&gt;</t>
  </si>
  <si>
    <t>&lt;a html="https://hl7.org/cda/us/ccda/Binary-care-team-member-schedule-observation-example.html" target="_blank" &gt;care-team-member-schedule-observation-example&lt;/a&gt;</t>
  </si>
  <si>
    <t>&lt;a html="https://hl7.org/cda/us/ccda/Binary-care-team-organizer-example.html" target="_blank" &gt;care-team-organizer-example&lt;/a&gt;</t>
  </si>
  <si>
    <t>&lt;a html="https://hl7.org/cda/us/ccda/Binary-care-team-type-example.html" target="_blank" &gt;care-team-type-example&lt;/a&gt;</t>
  </si>
  <si>
    <t>&lt;a html="https://hl7.org/cda/us/ccda/Binary-care-teams-section-example.html" target="_blank" &gt;care-teams-section-example&lt;/a&gt;</t>
  </si>
  <si>
    <t>&lt;a html="https://hl7.org/cda/us/ccda/Binary-caregiver-characteristics-example.html" target="_blank" &gt;caregiver-characteristics-example&lt;/a&gt;</t>
  </si>
  <si>
    <t>&lt;a html="https://hl7.org/cda/us/ccda/Binary-catalog-number-observation-example.html" target="_blank" &gt;catalog-number-observation-example&lt;/a&gt;</t>
  </si>
  <si>
    <t>&lt;a html="https://hl7.org/cda/us/ccda/Binary-ccd-header-example.html" target="_blank" &gt;ccd-header-example&lt;/a&gt;</t>
  </si>
  <si>
    <t>&lt;a html="https://hl7.org/cda/us/ccda/Binary-characteristics-of-home-environment-example.html" target="_blank" &gt;characteristics-of-home-environment-example&lt;/a&gt;</t>
  </si>
  <si>
    <t>&lt;a html="https://hl7.org/cda/us/ccda/Binary-chief-complaint-and-reason-for-visit-section-example.html" target="_blank" &gt;chief-complaint-and-reason-for-visit-section-example&lt;/a&gt;</t>
  </si>
  <si>
    <t>&lt;a html="https://hl7.org/cda/us/ccda/Binary-chief-complaint-section-example.html" target="_blank" &gt;chief-complaint-section-example&lt;/a&gt;</t>
  </si>
  <si>
    <t>&lt;a html="https://hl7.org/cda/us/ccda/Binary-code-observation-example.html" target="_blank" &gt;code-observation-example&lt;/a&gt;</t>
  </si>
  <si>
    <t>&lt;a html="https://hl7.org/cda/us/ccda/Binary-comment-activity-example.html" target="_blank" &gt;comment-activity-example&lt;/a&gt;</t>
  </si>
  <si>
    <t>&lt;a html="https://hl7.org/cda/us/ccda/Binary-company-name-example.html" target="_blank" &gt;company-name-example&lt;/a&gt;</t>
  </si>
  <si>
    <t>&lt;a html="https://hl7.org/cda/us/ccda/Binary-complications-section-example.html" target="_blank" &gt;complications-section-example&lt;/a&gt;</t>
  </si>
  <si>
    <t>&lt;a html="https://hl7.org/cda/us/ccda/Binary-consultation-note-complete-example.html" target="_blank" &gt;consultation-note-complete-example&lt;/a&gt;</t>
  </si>
  <si>
    <t>&lt;a html="https://hl7.org/cda/us/ccda/Binary-course-of-care-section-example.html" target="_blank" &gt;course-of-care-section-example&lt;/a&gt;</t>
  </si>
  <si>
    <t>&lt;a html="https://hl7.org/cda/us/ccda/Binary-coverage-activity-example.html" target="_blank" &gt;coverage-activity-example&lt;/a&gt;</t>
  </si>
  <si>
    <t>&lt;a html="https://hl7.org/cda/us/ccda/Binary-criticality-observation-example.html" target="_blank" &gt;criticality-observation-example&lt;/a&gt;</t>
  </si>
  <si>
    <t>&lt;a html="https://hl7.org/cda/us/ccda/Binary-cultural-and-religious-observation-example.html" target="_blank" &gt;cultural-and-religious-observation-example&lt;/a&gt;</t>
  </si>
  <si>
    <t>&lt;a html="https://hl7.org/cda/us/ccda/Binary-date-of-diagnosis-act-example.html" target="_blank" &gt;date-of-diagnosis-act-example&lt;/a&gt;</t>
  </si>
  <si>
    <t>&lt;a html="https://hl7.org/cda/us/ccda/Binary-deceased-observation-example.html" target="_blank" &gt;deceased-observation-example&lt;/a&gt;</t>
  </si>
  <si>
    <t>&lt;a html="https://hl7.org/cda/us/ccda/Binary-device-identifier-observation-example.html" target="_blank" &gt;device-identifier-observation-example&lt;/a&gt;</t>
  </si>
  <si>
    <t>&lt;a html="https://hl7.org/cda/us/ccda/Binary-diagnosis-reference-example.html" target="_blank" &gt;diagnosis-reference-example&lt;/a&gt;</t>
  </si>
  <si>
    <t>&lt;a html="https://hl7.org/cda/us/ccda/Binary-disability-status-observation-example.html" target="_blank" &gt;disability-status-observation-example&lt;/a&gt;</t>
  </si>
  <si>
    <t>&lt;a html="https://hl7.org/cda/us/ccda/Binary-discharge-diagnosis-section-example.html" target="_blank" &gt;discharge-diagnosis-section-example&lt;/a&gt;</t>
  </si>
  <si>
    <t>&lt;a html="https://hl7.org/cda/us/ccda/Binary-discharge-medication-example.html" target="_blank" &gt;discharge-medication-example&lt;/a&gt;</t>
  </si>
  <si>
    <t>&lt;a html="https://hl7.org/cda/us/ccda/Binary-discharge-medications-section-example.html" target="_blank" &gt;discharge-medications-section-example&lt;/a&gt;</t>
  </si>
  <si>
    <t>&lt;a html="https://hl7.org/cda/us/ccda/Binary-discharge-summary-header-example.html" target="_blank" &gt;discharge-summary-header-example&lt;/a&gt;</t>
  </si>
  <si>
    <t>&lt;a html="https://hl7.org/cda/us/ccda/Binary-distinct-identification-code-observation-example.html" target="_blank" &gt;distinct-identification-code-observation-example&lt;/a&gt;</t>
  </si>
  <si>
    <t>&lt;a html="https://hl7.org/cda/us/ccda/Binary-drug-monitoring-act-example.html" target="_blank" &gt;drug-monitoring-act-example&lt;/a&gt;</t>
  </si>
  <si>
    <t>&lt;a html="https://hl7.org/cda/us/ccda/Binary-drug-vehicle-example.html" target="_blank" &gt;drug-vehicle-example&lt;/a&gt;</t>
  </si>
  <si>
    <t>&lt;a html="https://hl7.org/cda/us/ccda/Binary-encounter-activity-example.html" target="_blank" &gt;encounter-activity-example&lt;/a&gt;</t>
  </si>
  <si>
    <t>&lt;a html="https://hl7.org/cda/us/ccda/Binary-encounter-diagnosis-example.html" target="_blank" &gt;encounter-diagnosis-example&lt;/a&gt;</t>
  </si>
  <si>
    <t>&lt;a html="https://hl7.org/cda/us/ccda/Binary-encounters-section-example.html" target="_blank" &gt;encounters-section-example&lt;/a&gt;</t>
  </si>
  <si>
    <t>&lt;a html="https://hl7.org/cda/us/ccda/Binary-entry-reference-example.html" target="_blank" &gt;entry-reference-example&lt;/a&gt;</t>
  </si>
  <si>
    <t>&lt;a html="https://hl7.org/cda/us/ccda/Binary-estimated-date-of-delivery-example.html" target="_blank" &gt;estimated-date-of-delivery-example&lt;/a&gt;</t>
  </si>
  <si>
    <t>&lt;a html="https://hl7.org/cda/us/ccda/Binary-external-document-reference-example.html" target="_blank" &gt;external-document-reference-example&lt;/a&gt;</t>
  </si>
  <si>
    <t>&lt;a html="https://hl7.org/cda/us/ccda/Binary-family-history-death-observation-example.html" target="_blank" &gt;family-history-death-observation-example&lt;/a&gt;</t>
  </si>
  <si>
    <t>&lt;a html="https://hl7.org/cda/us/ccda/Binary-family-history-observation-example.html" target="_blank" &gt;family-history-observation-example&lt;/a&gt;</t>
  </si>
  <si>
    <t>&lt;a html="https://hl7.org/cda/us/ccda/Binary-family-history-organizer-example.html" target="_blank" &gt;family-history-organizer-example&lt;/a&gt;</t>
  </si>
  <si>
    <t>&lt;a html="https://hl7.org/cda/us/ccda/Binary-family-history-section-example.html" target="_blank" &gt;family-history-section-example&lt;/a&gt;</t>
  </si>
  <si>
    <t>&lt;a html="https://hl7.org/cda/us/ccda/Binary-functional-status-observation-example.html" target="_blank" &gt;functional-status-observation-example&lt;/a&gt;</t>
  </si>
  <si>
    <t>&lt;a html="https://hl7.org/cda/us/ccda/Binary-functional-status-organizer-example.html" target="_blank" &gt;functional-status-organizer-example&lt;/a&gt;</t>
  </si>
  <si>
    <t>&lt;a html="https://hl7.org/cda/us/ccda/Binary-functional-status-section-example.html" target="_blank" &gt;functional-status-section-example&lt;/a&gt;</t>
  </si>
  <si>
    <t>&lt;a html="https://hl7.org/cda/us/ccda/Binary-gender-identity-observation-example.html" target="_blank" &gt;gender-identity-observation-example&lt;/a&gt;</t>
  </si>
  <si>
    <t>&lt;a html="https://hl7.org/cda/us/ccda/Binary-gender-identity-observation-nullflavor-example.html" target="_blank" &gt;gender-identity-observation-nullflavor-example&lt;/a&gt;</t>
  </si>
  <si>
    <t>&lt;a html="https://hl7.org/cda/us/ccda/Binary-general-status-section-example.html" target="_blank" &gt;general-status-section-example&lt;/a&gt;</t>
  </si>
  <si>
    <t>&lt;a html="https://hl7.org/cda/us/ccda/Binary-goal-observation-example.html" target="_blank" &gt;goal-observation-example&lt;/a&gt;</t>
  </si>
  <si>
    <t>&lt;a html="https://hl7.org/cda/us/ccda/Binary-goals-section-example.html" target="_blank" &gt;goals-section-example&lt;/a&gt;</t>
  </si>
  <si>
    <t>&lt;a html="https://hl7.org/cda/us/ccda/Binary-handoff-communication-example.html" target="_blank" &gt;handoff-communication-example&lt;/a&gt;</t>
  </si>
  <si>
    <t>&lt;a html="https://hl7.org/cda/us/ccda/Binary-health-concern-act-example.html" target="_blank" &gt;health-concern-act-example&lt;/a&gt;</t>
  </si>
  <si>
    <t>&lt;a html="https://hl7.org/cda/us/ccda/Binary-health-concerns-section-example.html" target="_blank" &gt;health-concerns-section-example&lt;/a&gt;</t>
  </si>
  <si>
    <t>&lt;a html="https://hl7.org/cda/us/ccda/Binary-health-status-observation-example.html" target="_blank" &gt;health-status-observation-example&lt;/a&gt;</t>
  </si>
  <si>
    <t>&lt;a html="https://hl7.org/cda/us/ccda/Binary-highest-pressure-ulcer-stage-example.html" target="_blank" &gt;highest-pressure-ulcer-stage-example&lt;/a&gt;</t>
  </si>
  <si>
    <t>&lt;a html="https://hl7.org/cda/us/ccda/Binary-history-and-physical-header-example.html" target="_blank" &gt;history-and-physical-header-example&lt;/a&gt;</t>
  </si>
  <si>
    <t>&lt;a html="https://hl7.org/cda/us/ccda/Binary-history-of-present-illness-section-example.html" target="_blank" &gt;history-of-present-illness-section-example&lt;/a&gt;</t>
  </si>
  <si>
    <t>&lt;a html="https://hl7.org/cda/us/ccda/Binary-hospital-admission-diagnosis-example.html" target="_blank" &gt;hospital-admission-diagnosis-example&lt;/a&gt;</t>
  </si>
  <si>
    <t>&lt;a html="https://hl7.org/cda/us/ccda/Binary-hospital-consultations-section-example.html" target="_blank" &gt;hospital-consultations-section-example&lt;/a&gt;</t>
  </si>
  <si>
    <t>&lt;a html="https://hl7.org/cda/us/ccda/Binary-hospital-course-section-example.html" target="_blank" &gt;hospital-course-section-example&lt;/a&gt;</t>
  </si>
  <si>
    <t>&lt;a html="https://hl7.org/cda/us/ccda/Binary-hospital-discharge-diagnosis-example.html" target="_blank" &gt;hospital-discharge-diagnosis-example&lt;/a&gt;</t>
  </si>
  <si>
    <t>&lt;a html="https://hl7.org/cda/us/ccda/Binary-hospital-discharge-instructions-section-example.html" target="_blank" &gt;hospital-discharge-instructions-section-example&lt;/a&gt;</t>
  </si>
  <si>
    <t>&lt;a html="https://hl7.org/cda/us/ccda/Binary-hospital-discharge-physical-section-example.html" target="_blank" &gt;hospital-discharge-physical-section-example&lt;/a&gt;</t>
  </si>
  <si>
    <t>&lt;a html="https://hl7.org/cda/us/ccda/Binary-hospital-discharge-studies-summary-section-example.html" target="_blank" &gt;hospital-discharge-studies-summary-section-example&lt;/a&gt;</t>
  </si>
  <si>
    <t>&lt;a html="https://hl7.org/cda/us/ccda/Binary-immunization-activity-example.html" target="_blank" &gt;immunization-activity-example&lt;/a&gt;</t>
  </si>
  <si>
    <t>&lt;a html="https://hl7.org/cda/us/ccda/Binary-immunization-medication-information-example.html" target="_blank" &gt;immunization-medication-information-example&lt;/a&gt;</t>
  </si>
  <si>
    <t>&lt;a html="https://hl7.org/cda/us/ccda/Binary-immunization-notgiven-reason-example.html" target="_blank" &gt;immunization-notgiven-reason-example&lt;/a&gt;</t>
  </si>
  <si>
    <t>&lt;a html="https://hl7.org/cda/us/ccda/Binary-immunizations-section-example.html" target="_blank" &gt;immunizations-section-example&lt;/a&gt;</t>
  </si>
  <si>
    <t>&lt;a html="https://hl7.org/cda/us/ccda/Binary-implantable-device-status-observation-example.html" target="_blank" &gt;implantable-device-status-observation-example&lt;/a&gt;</t>
  </si>
  <si>
    <t>&lt;a html="https://hl7.org/cda/us/ccda/Binary-indication-example.html" target="_blank" &gt;indication-example&lt;/a&gt;</t>
  </si>
  <si>
    <t>&lt;a html="https://hl7.org/cda/us/ccda/Binary-instruction-example.html" target="_blank" &gt;instruction-example&lt;/a&gt;</t>
  </si>
  <si>
    <t>&lt;a html="https://hl7.org/cda/us/ccda/Binary-instructions-section-example.html" target="_blank" &gt;instructions-section-example&lt;/a&gt;</t>
  </si>
  <si>
    <t>&lt;a html="https://hl7.org/cda/us/ccda/Binary-intervention-act-moodcodeint-example.html" target="_blank" &gt;intervention-act-moodcodeint-example&lt;/a&gt;</t>
  </si>
  <si>
    <t>&lt;a html="https://hl7.org/cda/us/ccda/Binary-latex-safety-observation-example.html" target="_blank" &gt;latex-safety-observation-example&lt;/a&gt;</t>
  </si>
  <si>
    <t>&lt;a html="https://hl7.org/cda/us/ccda/Binary-longitudinal-care-wound-observation-example.html" target="_blank" &gt;longitudinal-care-wound-observation-example&lt;/a&gt;</t>
  </si>
  <si>
    <t>&lt;a html="https://hl7.org/cda/us/ccda/Binary-lot-or-batch-number-observation-example.html" target="_blank" &gt;lot-or-batch-number-observation-example&lt;/a&gt;</t>
  </si>
  <si>
    <t>&lt;a html="https://hl7.org/cda/us/ccda/Binary-manufacturing-date-observation-example.html" target="_blank" &gt;manufacturing-date-observation-example&lt;/a&gt;</t>
  </si>
  <si>
    <t>&lt;a html="https://hl7.org/cda/us/ccda/Binary-medical-equipment-organizer-example.html" target="_blank" &gt;medical-equipment-organizer-example&lt;/a&gt;</t>
  </si>
  <si>
    <t>&lt;a html="https://hl7.org/cda/us/ccda/Binary-medical-equipment-section-example.html" target="_blank" &gt;medical-equipment-section-example&lt;/a&gt;</t>
  </si>
  <si>
    <t>&lt;a html="https://hl7.org/cda/us/ccda/Binary-medication-activity-example.html" target="_blank" &gt;medication-activity-example&lt;/a&gt;</t>
  </si>
  <si>
    <t>&lt;a html="https://hl7.org/cda/us/ccda/Binary-medication-adherence-example.html" target="_blank" &gt;medication-adherence-example&lt;/a&gt;</t>
  </si>
  <si>
    <t>&lt;a html="https://hl7.org/cda/us/ccda/Binary-medication-adherence-nullflavor-example.html" target="_blank" &gt;medication-adherence-nullflavor-example&lt;/a&gt;</t>
  </si>
  <si>
    <t>&lt;a html="https://hl7.org/cda/us/ccda/Binary-medication-dispense-example.html" target="_blank" &gt;medication-dispense-example&lt;/a&gt;</t>
  </si>
  <si>
    <t>&lt;a html="https://hl7.org/cda/us/ccda/Binary-medication-free-text-sig-example.html" target="_blank" &gt;medication-free-text-sig-example&lt;/a&gt;</t>
  </si>
  <si>
    <t>&lt;a html="https://hl7.org/cda/us/ccda/Binary-medication-information-example.html" target="_blank" &gt;medication-information-example&lt;/a&gt;</t>
  </si>
  <si>
    <t>&lt;a html="https://hl7.org/cda/us/ccda/Binary-medication-supply-order-example.html" target="_blank" &gt;medication-supply-order-example&lt;/a&gt;</t>
  </si>
  <si>
    <t>&lt;a html="https://hl7.org/cda/us/ccda/Binary-medications-administered-section-example.html" target="_blank" &gt;medications-administered-section-example&lt;/a&gt;</t>
  </si>
  <si>
    <t>&lt;a html="https://hl7.org/cda/us/ccda/Binary-medications-section-example.html" target="_blank" &gt;medications-section-example&lt;/a&gt;</t>
  </si>
  <si>
    <t>&lt;a html="https://hl7.org/cda/us/ccda/Binary-mental-status-observation-example.html" target="_blank" &gt;mental-status-observation-example&lt;/a&gt;</t>
  </si>
  <si>
    <t>&lt;a html="https://hl7.org/cda/us/ccda/Binary-mental-status-organizer-example.html" target="_blank" &gt;mental-status-organizer-example&lt;/a&gt;</t>
  </si>
  <si>
    <t>&lt;a html="https://hl7.org/cda/us/ccda/Binary-mental-status-section-example.html" target="_blank" &gt;mental-status-section-example&lt;/a&gt;</t>
  </si>
  <si>
    <t>&lt;a html="https://hl7.org/cda/us/ccda/Binary-model-number-observation-example.html" target="_blank" &gt;model-number-observation-example&lt;/a&gt;</t>
  </si>
  <si>
    <t>&lt;a html="https://hl7.org/cda/us/ccda/Binary-mri-safety-observation-example.html" target="_blank" &gt;mri-safety-observation-example&lt;/a&gt;</t>
  </si>
  <si>
    <t>&lt;a html="https://hl7.org/cda/us/ccda/Binary-new-author-participant-example.html" target="_blank" &gt;new-author-participant-example&lt;/a&gt;</t>
  </si>
  <si>
    <t>&lt;a html="https://hl7.org/cda/us/ccda/Binary-no-known-medications-example.html" target="_blank" &gt;no-known-medications-example&lt;/a&gt;</t>
  </si>
  <si>
    <t>&lt;a html="https://hl7.org/cda/us/ccda/Binary-no-known-problems-section-example.html" target="_blank" &gt;no-known-problems-section-example&lt;/a&gt;</t>
  </si>
  <si>
    <t>&lt;a html="https://hl7.org/cda/us/ccda/Binary-non-medicinal-supply-activity-example.html" target="_blank" &gt;non-medicinal-supply-activity-example&lt;/a&gt;</t>
  </si>
  <si>
    <t>&lt;a html="https://hl7.org/cda/us/ccda/Binary-note-activity-as-entryrelationship-to-ccda-entry-example.html" target="_blank" &gt;note-activity-as-entryrelationship-to-ccda-entry-example&lt;/a&gt;</t>
  </si>
  <si>
    <t>&lt;a html="https://hl7.org/cda/us/ccda/Binary-note-activity-as-standalone-entry-example.html" target="_blank" &gt;note-activity-as-standalone-entry-example&lt;/a&gt;</t>
  </si>
  <si>
    <t>&lt;a html="https://hl7.org/cda/us/ccda/Binary-note-section-example.html" target="_blank" &gt;note-section-example&lt;/a&gt;</t>
  </si>
  <si>
    <t>&lt;a html="https://hl7.org/cda/us/ccda/Binary-number-of-pressure-ulcers-observation-example.html" target="_blank" &gt;number-of-pressure-ulcers-observation-example&lt;/a&gt;</t>
  </si>
  <si>
    <t>&lt;a html="https://hl7.org/cda/us/ccda/Binary-nutrition-assessment-example.html" target="_blank" &gt;nutrition-assessment-example&lt;/a&gt;</t>
  </si>
  <si>
    <t>&lt;a html="https://hl7.org/cda/us/ccda/Binary-nutrition-recommendation-example.html" target="_blank" &gt;nutrition-recommendation-example&lt;/a&gt;</t>
  </si>
  <si>
    <t>&lt;a html="https://hl7.org/cda/us/ccda/Binary-nutrition-section-example.html" target="_blank" &gt;nutrition-section-example&lt;/a&gt;</t>
  </si>
  <si>
    <t>&lt;a html="https://hl7.org/cda/us/ccda/Binary-nutritional-status-observation-example.html" target="_blank" &gt;nutritional-status-observation-example&lt;/a&gt;</t>
  </si>
  <si>
    <t>&lt;a html="https://hl7.org/cda/us/ccda/Binary-objective-section-example.html" target="_blank" &gt;objective-section-example&lt;/a&gt;</t>
  </si>
  <si>
    <t>&lt;a html="https://hl7.org/cda/us/ccda/Binary-operative-note-fluids-section-example.html" target="_blank" &gt;operative-note-fluids-section-example&lt;/a&gt;</t>
  </si>
  <si>
    <t>&lt;a html="https://hl7.org/cda/us/ccda/Binary-operative-note-header-example.html" target="_blank" &gt;operative-note-header-example&lt;/a&gt;</t>
  </si>
  <si>
    <t>&lt;a html="https://hl7.org/cda/us/ccda/Binary-operative-note-surgical-procedure-section-example.html" target="_blank" &gt;operative-note-surgical-procedure-section-example&lt;/a&gt;</t>
  </si>
  <si>
    <t>&lt;a html="https://hl7.org/cda/us/ccda/Binary-outcome-observation-example.html" target="_blank" &gt;outcome-observation-example&lt;/a&gt;</t>
  </si>
  <si>
    <t>&lt;a html="https://hl7.org/cda/us/ccda/Binary-outcomes-section-example.html" target="_blank" &gt;outcomes-section-example&lt;/a&gt;</t>
  </si>
  <si>
    <t>&lt;a html="https://hl7.org/cda/us/ccda/Binary-past-medical-history-example.html" target="_blank" &gt;past-medical-history-example&lt;/a&gt;</t>
  </si>
  <si>
    <t>&lt;a html="https://hl7.org/cda/us/ccda/Binary-patient-generated-document-informationrecipient.html" target="_blank" &gt;patient-generated-document-informationrecipient&lt;/a&gt;</t>
  </si>
  <si>
    <t>&lt;a html="https://hl7.org/cda/us/ccda/Binary-payers-section-example.html" target="_blank" &gt;payers-section-example&lt;/a&gt;</t>
  </si>
  <si>
    <t>&lt;a html="https://hl7.org/cda/us/ccda/Binary-physical-exam-section-example.html" target="_blank" &gt;physical-exam-section-example&lt;/a&gt;</t>
  </si>
  <si>
    <t>&lt;a html="https://hl7.org/cda/us/ccda/Binary-plan-of-treatment-section-example.html" target="_blank" &gt;plan-of-treatment-section-example&lt;/a&gt;</t>
  </si>
  <si>
    <t>&lt;a html="https://hl7.org/cda/us/ccda/Binary-planned-coverage-example.html" target="_blank" &gt;planned-coverage-example&lt;/a&gt;</t>
  </si>
  <si>
    <t>&lt;a html="https://hl7.org/cda/us/ccda/Binary-planned-encounter-example.html" target="_blank" &gt;planned-encounter-example&lt;/a&gt;</t>
  </si>
  <si>
    <t>&lt;a html="https://hl7.org/cda/us/ccda/Binary-planned-immunization-activity.html" target="_blank" &gt;planned-immunization-activity&lt;/a&gt;</t>
  </si>
  <si>
    <t>&lt;a html="https://hl7.org/cda/us/ccda/Binary-planned-intervention-act-example.html" target="_blank" &gt;planned-intervention-act-example&lt;/a&gt;</t>
  </si>
  <si>
    <t>&lt;a html="https://hl7.org/cda/us/ccda/Binary-planned-medication-activity-example.html" target="_blank" &gt;planned-medication-activity-example&lt;/a&gt;</t>
  </si>
  <si>
    <t>&lt;a html="https://hl7.org/cda/us/ccda/Binary-planned-procedure-example.html" target="_blank" &gt;planned-procedure-example&lt;/a&gt;</t>
  </si>
  <si>
    <t>&lt;a html="https://hl7.org/cda/us/ccda/Binary-planned-procedure-section-example.html" target="_blank" &gt;planned-procedure-section-example&lt;/a&gt;</t>
  </si>
  <si>
    <t>&lt;a html="https://hl7.org/cda/us/ccda/Binary-planned-supply-example.html" target="_blank" &gt;planned-supply-example&lt;/a&gt;</t>
  </si>
  <si>
    <t>&lt;a html="https://hl7.org/cda/us/ccda/Binary-policy-activity-example.html" target="_blank" &gt;policy-activity-example&lt;/a&gt;</t>
  </si>
  <si>
    <t>&lt;a html="https://hl7.org/cda/us/ccda/Binary-postoperative-diagnosis-section-example.html" target="_blank" &gt;postoperative-diagnosis-section-example&lt;/a&gt;</t>
  </si>
  <si>
    <t>&lt;a html="https://hl7.org/cda/us/ccda/Binary-postprocedure-diagnosis-example.html" target="_blank" &gt;postprocedure-diagnosis-example&lt;/a&gt;</t>
  </si>
  <si>
    <t>&lt;a html="https://hl7.org/cda/us/ccda/Binary-postprocedure-diagnosis-section-example.html" target="_blank" &gt;postprocedure-diagnosis-section-example&lt;/a&gt;</t>
  </si>
  <si>
    <t>&lt;a html="https://hl7.org/cda/us/ccda/Binary-precondition-for-substance-administration-example.html" target="_blank" &gt;precondition-for-substance-administration-example&lt;/a&gt;</t>
  </si>
  <si>
    <t>&lt;a html="https://hl7.org/cda/us/ccda/Binary-pregnancy-intention-in-next-year-example.html" target="_blank" &gt;pregnancy-intention-in-next-year-example&lt;/a&gt;</t>
  </si>
  <si>
    <t>&lt;a html="https://hl7.org/cda/us/ccda/Binary-pregnancy-status-observation-example.html" target="_blank" &gt;pregnancy-status-observation-example&lt;/a&gt;</t>
  </si>
  <si>
    <t>&lt;a html="https://hl7.org/cda/us/ccda/Binary-preoperative-diagnosis-example.html" target="_blank" &gt;preoperative-diagnosis-example&lt;/a&gt;</t>
  </si>
  <si>
    <t>&lt;a html="https://hl7.org/cda/us/ccda/Binary-preoperative-diagnosis-section-example.html" target="_blank" &gt;preoperative-diagnosis-section-example&lt;/a&gt;</t>
  </si>
  <si>
    <t>&lt;a html="https://hl7.org/cda/us/ccda/Binary-priority-preference-example.html" target="_blank" &gt;priority-preference-example&lt;/a&gt;</t>
  </si>
  <si>
    <t>&lt;a html="https://hl7.org/cda/us/ccda/Binary-problem-concern-act-example.html" target="_blank" &gt;problem-concern-act-example&lt;/a&gt;</t>
  </si>
  <si>
    <t>&lt;a html="https://hl7.org/cda/us/ccda/Binary-problem-observation-example.html" target="_blank" &gt;problem-observation-example&lt;/a&gt;</t>
  </si>
  <si>
    <t>&lt;a html="https://hl7.org/cda/us/ccda/Binary-problem-observation-postcoordsnomed-example.html" target="_blank" &gt;problem-observation-postcoordsnomed-example&lt;/a&gt;</t>
  </si>
  <si>
    <t>&lt;a html="https://hl7.org/cda/us/ccda/Binary-problem-section-example.html" target="_blank" &gt;problem-section-example&lt;/a&gt;</t>
  </si>
  <si>
    <t>&lt;a html="https://hl7.org/cda/us/ccda/Binary-procedure-activity-procedure-example.html" target="_blank" &gt;procedure-activity-procedure-example&lt;/a&gt;</t>
  </si>
  <si>
    <t>&lt;a html="https://hl7.org/cda/us/ccda/Binary-procedure-description-section-example.html" target="_blank" &gt;procedure-description-section-example&lt;/a&gt;</t>
  </si>
  <si>
    <t>&lt;a html="https://hl7.org/cda/us/ccda/Binary-procedure-disposition-section-example.html" target="_blank" &gt;procedure-disposition-section-example&lt;/a&gt;</t>
  </si>
  <si>
    <t>&lt;a html="https://hl7.org/cda/us/ccda/Binary-procedure-estimated-blood-loss-section-example.html" target="_blank" &gt;procedure-estimated-blood-loss-section-example&lt;/a&gt;</t>
  </si>
  <si>
    <t>&lt;a html="https://hl7.org/cda/us/ccda/Binary-procedure-findings-section-example.html" target="_blank" &gt;procedure-findings-section-example&lt;/a&gt;</t>
  </si>
  <si>
    <t>&lt;a html="https://hl7.org/cda/us/ccda/Binary-procedure-implants-section-example.html" target="_blank" &gt;procedure-implants-section-example&lt;/a&gt;</t>
  </si>
  <si>
    <t>&lt;a html="https://hl7.org/cda/us/ccda/Binary-procedure-indications-section-example.html" target="_blank" &gt;procedure-indications-section-example&lt;/a&gt;</t>
  </si>
  <si>
    <t>&lt;a html="https://hl7.org/cda/us/ccda/Binary-procedure-note-header-example.html" target="_blank" &gt;procedure-note-header-example&lt;/a&gt;</t>
  </si>
  <si>
    <t>&lt;a html="https://hl7.org/cda/us/ccda/Binary-procedure-specimens-taken-section-example.html" target="_blank" &gt;procedure-specimens-taken-section-example&lt;/a&gt;</t>
  </si>
  <si>
    <t>&lt;a html="https://hl7.org/cda/us/ccda/Binary-procedures-section-example.html" target="_blank" &gt;procedures-section-example&lt;/a&gt;</t>
  </si>
  <si>
    <t>&lt;a html="https://hl7.org/cda/us/ccda/Binary-product-instance-example.html" target="_blank" &gt;product-instance-example&lt;/a&gt;</t>
  </si>
  <si>
    <t>&lt;a html="https://hl7.org/cda/us/ccda/Binary-prognosis-coded-example.html" target="_blank" &gt;prognosis-coded-example&lt;/a&gt;</t>
  </si>
  <si>
    <t>&lt;a html="https://hl7.org/cda/us/ccda/Binary-prognosis-free-text-example.html" target="_blank" &gt;prognosis-free-text-example&lt;/a&gt;</t>
  </si>
  <si>
    <t>&lt;a html="https://hl7.org/cda/us/ccda/Binary-progress-note-header-example.html" target="_blank" &gt;progress-note-header-example&lt;/a&gt;</t>
  </si>
  <si>
    <t>&lt;a html="https://hl7.org/cda/us/ccda/Binary-progress-note-serviceevent-example.html" target="_blank" &gt;progress-note-serviceevent-example&lt;/a&gt;</t>
  </si>
  <si>
    <t>&lt;a html="https://hl7.org/cda/us/ccda/Binary-progress-toward-goal-observation-example.html" target="_blank" &gt;progress-toward-goal-observation-example&lt;/a&gt;</t>
  </si>
  <si>
    <t>&lt;a html="https://hl7.org/cda/us/ccda/Binary-provenance-assembler-participation-example.html" target="_blank" &gt;provenance-assembler-participation-example&lt;/a&gt;</t>
  </si>
  <si>
    <t>&lt;a html="https://hl7.org/cda/us/ccda/Binary-provenance-author-participation-example.html" target="_blank" &gt;provenance-author-participation-example&lt;/a&gt;</t>
  </si>
  <si>
    <t>&lt;a html="https://hl7.org/cda/us/ccda/Binary-reaction-observation-example.html" target="_blank" &gt;reaction-observation-example&lt;/a&gt;</t>
  </si>
  <si>
    <t>&lt;a html="https://hl7.org/cda/us/ccda/Binary-reason-example.html" target="_blank" &gt;reason-example&lt;/a&gt;</t>
  </si>
  <si>
    <t>&lt;a html="https://hl7.org/cda/us/ccda/Binary-reason-for-referral-section-example.html" target="_blank" &gt;reason-for-referral-section-example&lt;/a&gt;</t>
  </si>
  <si>
    <t>&lt;a html="https://hl7.org/cda/us/ccda/Binary-reason-for-visit-section-example.html" target="_blank" &gt;reason-for-visit-section-example&lt;/a&gt;</t>
  </si>
  <si>
    <t>&lt;a html="https://hl7.org/cda/us/ccda/Binary-referral-act-example.html" target="_blank" &gt;referral-act-example&lt;/a&gt;</t>
  </si>
  <si>
    <t>&lt;a html="https://hl7.org/cda/us/ccda/Binary-referral-note-header-example.html" target="_blank" &gt;referral-note-header-example&lt;/a&gt;</t>
  </si>
  <si>
    <t>&lt;a html="https://hl7.org/cda/us/ccda/Binary-related-person-relationship-and-name-example.html" target="_blank" &gt;related-person-relationship-and-name-example&lt;/a&gt;</t>
  </si>
  <si>
    <t>&lt;a html="https://hl7.org/cda/us/ccda/Binary-result-observation-example.html" target="_blank" &gt;result-observation-example&lt;/a&gt;</t>
  </si>
  <si>
    <t>&lt;a html="https://hl7.org/cda/us/ccda/Binary-result-organizer-example.html" target="_blank" &gt;result-organizer-example&lt;/a&gt;</t>
  </si>
  <si>
    <t>&lt;a html="https://hl7.org/cda/us/ccda/Binary-results-section-example.html" target="_blank" &gt;results-section-example&lt;/a&gt;</t>
  </si>
  <si>
    <t>&lt;a html="https://hl7.org/cda/us/ccda/Binary-review-of-systems-section-example.html" target="_blank" &gt;review-of-systems-section-example&lt;/a&gt;</t>
  </si>
  <si>
    <t>&lt;a html="https://hl7.org/cda/us/ccda/Binary-risk-concern-act-example.html" target="_blank" &gt;risk-concern-act-example&lt;/a&gt;</t>
  </si>
  <si>
    <t>&lt;a html="https://hl7.org/cda/us/ccda/Binary-section-time-range-example.html" target="_blank" &gt;section-time-range-example&lt;/a&gt;</t>
  </si>
  <si>
    <t>&lt;a html="https://hl7.org/cda/us/ccda/Binary-self-care-activities-adl-and-iadl-example.html" target="_blank" &gt;self-care-activities-adl-and-iadl-example&lt;/a&gt;</t>
  </si>
  <si>
    <t>&lt;a html="https://hl7.org/cda/us/ccda/Binary-sensory-and-speech-status-example.html" target="_blank" &gt;sensory-and-speech-status-example&lt;/a&gt;</t>
  </si>
  <si>
    <t>&lt;a html="https://hl7.org/cda/us/ccda/Binary-serial-number-observation-example.html" target="_blank" &gt;serial-number-observation-example&lt;/a&gt;</t>
  </si>
  <si>
    <t>&lt;a html="https://hl7.org/cda/us/ccda/Binary-service-delivery-location-example.html" target="_blank" &gt;service-delivery-location-example&lt;/a&gt;</t>
  </si>
  <si>
    <t>&lt;a html="https://hl7.org/cda/us/ccda/Binary-severity-observation-example.html" target="_blank" &gt;severity-observation-example&lt;/a&gt;</t>
  </si>
  <si>
    <t>&lt;a html="https://hl7.org/cda/us/ccda/Binary-sex-observation-example.html" target="_blank" &gt;sex-observation-example&lt;/a&gt;</t>
  </si>
  <si>
    <t>&lt;a html="https://hl7.org/cda/us/ccda/Binary-sex-observation-nullflavor-example.html" target="_blank" &gt;sex-observation-nullflavor-example&lt;/a&gt;</t>
  </si>
  <si>
    <t>&lt;a html="https://hl7.org/cda/us/ccda/Binary-sexual-orientation-observation-example.html" target="_blank" &gt;sexual-orientation-observation-example&lt;/a&gt;</t>
  </si>
  <si>
    <t>&lt;a html="https://hl7.org/cda/us/ccda/Binary-sexual-orientation-observation-nullflavor-example.html" target="_blank" &gt;sexual-orientation-observation-nullflavor-example&lt;/a&gt;</t>
  </si>
  <si>
    <t>&lt;a html="https://hl7.org/cda/us/ccda/Binary-smoking-status-coded-example.html" target="_blank" &gt;smoking-status-coded-example&lt;/a&gt;</t>
  </si>
  <si>
    <t>&lt;a html="https://hl7.org/cda/us/ccda/Binary-smoking-status-meaningful-use-example.html" target="_blank" &gt;smoking-status-meaningful-use-example&lt;/a&gt;</t>
  </si>
  <si>
    <t>&lt;a html="https://hl7.org/cda/us/ccda/Binary-smoking-status-quantity-example.html" target="_blank" &gt;smoking-status-quantity-example&lt;/a&gt;</t>
  </si>
  <si>
    <t>&lt;a html="https://hl7.org/cda/us/ccda/Binary-social-history-observation-example.html" target="_blank" &gt;social-history-observation-example&lt;/a&gt;</t>
  </si>
  <si>
    <t>&lt;a html="https://hl7.org/cda/us/ccda/Binary-social-history-section-example.html" target="_blank" &gt;social-history-section-example&lt;/a&gt;</t>
  </si>
  <si>
    <t>&lt;a html="https://hl7.org/cda/us/ccda/Binary-specimen-collection-procedure-example.html" target="_blank" &gt;specimen-collection-procedure-example&lt;/a&gt;</t>
  </si>
  <si>
    <t>&lt;a html="https://hl7.org/cda/us/ccda/Binary-specimen-condition-observation-example.html" target="_blank" &gt;specimen-condition-observation-example&lt;/a&gt;</t>
  </si>
  <si>
    <t>&lt;a html="https://hl7.org/cda/us/ccda/Binary-subjective-section-example.html" target="_blank" &gt;subjective-section-example&lt;/a&gt;</t>
  </si>
  <si>
    <t>&lt;a html="https://hl7.org/cda/us/ccda/Binary-substance-administered-act-example.html" target="_blank" &gt;substance-administered-act-example&lt;/a&gt;</t>
  </si>
  <si>
    <t>&lt;a html="https://hl7.org/cda/us/ccda/Binary-surgical-drains-section-example.html" target="_blank" &gt;surgical-drains-section-example&lt;/a&gt;</t>
  </si>
  <si>
    <t>&lt;a html="https://hl7.org/cda/us/ccda/Binary-tobacco-use-example.html" target="_blank" &gt;tobacco-use-example&lt;/a&gt;</t>
  </si>
  <si>
    <t>&lt;a html="https://hl7.org/cda/us/ccda/Binary-transfer-summary-header-example.html" target="_blank" &gt;transfer-summary-header-example&lt;/a&gt;</t>
  </si>
  <si>
    <t>&lt;a html="https://hl7.org/cda/us/ccda/Binary-tribal-affiliation-example.html" target="_blank" &gt;tribal-affiliation-example&lt;/a&gt;</t>
  </si>
  <si>
    <t>&lt;a html="https://hl7.org/cda/us/ccda/Binary-udi-organizer-example.html" target="_blank" &gt;udi-organizer-example&lt;/a&gt;</t>
  </si>
  <si>
    <t>&lt;a html="https://hl7.org/cda/us/ccda/Binary-vital-sign-observation-example.html" target="_blank" &gt;vital-sign-observation-example&lt;/a&gt;</t>
  </si>
  <si>
    <t>&lt;a html="https://hl7.org/cda/us/ccda/Binary-vital-signs-organizer-example.html" target="_blank" &gt;vital-signs-organizer-example&lt;/a&gt;</t>
  </si>
  <si>
    <t>&lt;a html="https://hl7.org/cda/us/ccda/Binary-vital-signs-section-example.html" target="_blank" &gt;vital-signs-section-example&lt;/a&gt;</t>
  </si>
  <si>
    <t>&lt;a html="https://hl7.org/cda/us/ccda/Binary-wound-characteristic-example.html" target="_blank" &gt;wound-characteristic-example&lt;/a&gt;</t>
  </si>
  <si>
    <t>&lt;a html="https://hl7.org/cda/us/ccda/Binary-wound-measurement-observation-example.html" target="_blank" &gt;wound-measurement-observation-example&lt;/a&gt;</t>
  </si>
  <si>
    <t>{ file:'2.16.840.1.113883.10.20.22.2.43.html', href:'https://hl7.org/cda/us/ccda/Binary-admission-diagnosis-section-example.html', text:'admission-diagnosis-section-example' },</t>
  </si>
  <si>
    <t>{ file:'2.16.840.1.113883.10.20.22.4.34.html', href:'https://hl7.org/cda/us/ccda/Binary-admission-diagnosis-section-example.html', text:'admission-diagnosis-section-example' },</t>
  </si>
  <si>
    <t>{ file:'2.16.840.1.113883.10.20.22.4.4.html', href:'https://hl7.org/cda/us/ccda/Binary-admission-diagnosis-section-example.html', text:'admission-diagnosis-section-example' },</t>
  </si>
  <si>
    <t>{ file:'2.16.840.1.113883.10.20.22.4.36.html', href:'https://hl7.org/cda/us/ccda/Binary-admission-medication-example.html', text:'admission-medication-example' },</t>
  </si>
  <si>
    <t>{ file:'2.16.840.1.113883.10.20.22.4.16.html', href:'https://hl7.org/cda/us/ccda/Binary-admission-medication-example.html', text:'admission-medication-example' },</t>
  </si>
  <si>
    <t>{ file:'2.16.840.1.113883.10.20.22.4.23.html', href:'https://hl7.org/cda/us/ccda/Binary-admission-medication-example.html', text:'admission-medication-example' },</t>
  </si>
  <si>
    <t>{ file:'2.16.840.1.113883.10.20.22.4.513.html', href:'https://hl7.org/cda/us/ccda/Binary-advance-directive-existence-observation-example.html', text:'advance-directive-existence-observation-example' },</t>
  </si>
  <si>
    <t>{ file:'2.16.840.1.113883.10.20.22.5.6.html', href:'https://hl7.org/cda/us/ccda/Binary-advance-directive-existence-observation-example.html', text:'advance-directive-existence-observation-example' },</t>
  </si>
  <si>
    <t>{ file:'2.16.840.1.113883.10.20.22.4.48.html', href:'https://hl7.org/cda/us/ccda/Binary-advance-directive-existence-observation-example.html', text:'advance-directive-existence-observation-example' },</t>
  </si>
  <si>
    <t>{ file:'2.16.840.1.113883.10.20.22.4.119.html', href:'https://hl7.org/cda/us/ccda/Binary-advance-directive-existence-observation-example.html', text:'advance-directive-existence-observation-example' },</t>
  </si>
  <si>
    <t>{ file:'2.16.840.1.113883.10.20.1.58.html', href:'https://hl7.org/cda/us/ccda/Binary-advance-directive-existence-observation-example.html', text:'advance-directive-existence-observation-example' },</t>
  </si>
  <si>
    <t>{ file:'2.16.840.1.113883.10.20.22.4.48.html', href:'https://hl7.org/cda/us/ccda/Binary-advance-directive-observation-example.html', text:'advance-directive-observation-example' },</t>
  </si>
  <si>
    <t>{ file:'2.16.840.1.113883.10.20.22.4.119.html', href:'https://hl7.org/cda/us/ccda/Binary-advance-directive-observation-example.html', text:'advance-directive-observation-example' },</t>
  </si>
  <si>
    <t>{ file:'2.16.840.1.113883.10.20.1.58.html', href:'https://hl7.org/cda/us/ccda/Binary-advance-directive-observation-example.html', text:'advance-directive-observation-example' },</t>
  </si>
  <si>
    <t>{ file:'2.16.840.1.113883.10.20.22.2.21.1.html', href:'https://hl7.org/cda/us/ccda/Binary-advance-directives-section-example.html', text:'advance-directives-section-example' },</t>
  </si>
  <si>
    <t>{ file:'2.16.840.1.113883.10.20.22.4.513.html', href:'https://hl7.org/cda/us/ccda/Binary-advance-directives-section-example.html', text:'advance-directives-section-example' },</t>
  </si>
  <si>
    <t>{ file:'2.16.840.1.113883.10.20.22.5.6.html', href:'https://hl7.org/cda/us/ccda/Binary-advance-directives-section-example.html', text:'advance-directives-section-example' },</t>
  </si>
  <si>
    <t>{ file:'2.16.840.1.113883.10.20.22.4.31.html', href:'https://hl7.org/cda/us/ccda/Binary-age-observation-example.html', text:'age-observation-example' },</t>
  </si>
  <si>
    <t>{ file:'2.16.840.1.113883.10.20.22.2.6.1.html', href:'https://hl7.org/cda/us/ccda/Binary-allergies-and-intolerances-section-example.html', text:'allergies-and-intolerances-section-example' },</t>
  </si>
  <si>
    <t>{ file:'2.16.840.1.113883.10.20.22.4.30.html', href:'https://hl7.org/cda/us/ccda/Binary-allergies-and-intolerances-section-example.html', text:'allergies-and-intolerances-section-example' },</t>
  </si>
  <si>
    <t>{ file:'2.16.840.1.113883.10.20.22.4.119.html', href:'https://hl7.org/cda/us/ccda/Binary-allergies-and-intolerances-section-example.html', text:'allergies-and-intolerances-section-example' },</t>
  </si>
  <si>
    <t>{ file:'2.16.840.1.113883.10.20.22.4.7.html', href:'https://hl7.org/cda/us/ccda/Binary-allergies-and-intolerances-section-example.html', text:'allergies-and-intolerances-section-example' },</t>
  </si>
  <si>
    <t>{ file:'2.16.840.1.113883.10.20.24.3.90.html', href:'https://hl7.org/cda/us/ccda/Binary-allergies-and-intolerances-section-example.html', text:'allergies-and-intolerances-section-example' },</t>
  </si>
  <si>
    <t>{ file:'2.16.840.1.113883.10.20.22.4.30.html', href:'https://hl7.org/cda/us/ccda/Binary-allergy-concern-act-example.html', text:'allergy-concern-act-example' },</t>
  </si>
  <si>
    <t>{ file:'2.16.840.1.113883.10.20.22.4.119.html', href:'https://hl7.org/cda/us/ccda/Binary-allergy-concern-act-example.html', text:'allergy-concern-act-example' },</t>
  </si>
  <si>
    <t>{ file:'2.16.840.1.113883.10.20.22.4.7.html', href:'https://hl7.org/cda/us/ccda/Binary-allergy-concern-act-example.html', text:'allergy-concern-act-example' },</t>
  </si>
  <si>
    <t>{ file:'2.16.840.1.113883.10.20.24.3.90.html', href:'https://hl7.org/cda/us/ccda/Binary-allergy-concern-act-example.html', text:'allergy-concern-act-example' },</t>
  </si>
  <si>
    <t>{ file:'2.16.840.1.113883.10.20.22.4.7.html', href:'https://hl7.org/cda/us/ccda/Binary-allergy-intolerance-observation-drugclass-example.html', text:'allergy-intolerance-observation-drugclass-example' },</t>
  </si>
  <si>
    <t>{ file:'2.16.840.1.113883.10.20.24.3.90.html', href:'https://hl7.org/cda/us/ccda/Binary-allergy-intolerance-observation-drugclass-example.html', text:'allergy-intolerance-observation-drugclass-example' },</t>
  </si>
  <si>
    <t>{ file:'2.16.840.1.113883.10.20.22.4.119.html', href:'https://hl7.org/cda/us/ccda/Binary-allergy-intolerance-observation-drugclass-example.html', text:'allergy-intolerance-observation-drugclass-example' },</t>
  </si>
  <si>
    <t>{ file:'2.16.840.1.113883.10.20.22.4.9.html', href:'https://hl7.org/cda/us/ccda/Binary-allergy-intolerance-observation-drugclass-example.html', text:'allergy-intolerance-observation-drugclass-example' },</t>
  </si>
  <si>
    <t>{ file:'2.16.840.1.113883.10.20.22.4.8.html', href:'https://hl7.org/cda/us/ccda/Binary-allergy-intolerance-observation-drugclass-example.html', text:'allergy-intolerance-observation-drugclass-example' },</t>
  </si>
  <si>
    <t>{ file:'2.16.840.1.113883.10.20.22.4.7.html', href:'https://hl7.org/cda/us/ccda/Binary-allergy-intolerance-observation-medication-example.html', text:'allergy-intolerance-observation-medication-example' },</t>
  </si>
  <si>
    <t>{ file:'2.16.840.1.113883.10.20.24.3.90.html', href:'https://hl7.org/cda/us/ccda/Binary-allergy-intolerance-observation-medication-example.html', text:'allergy-intolerance-observation-medication-example' },</t>
  </si>
  <si>
    <t>{ file:'2.16.840.1.113883.10.20.22.4.119.html', href:'https://hl7.org/cda/us/ccda/Binary-allergy-intolerance-observation-medication-example.html', text:'allergy-intolerance-observation-medication-example' },</t>
  </si>
  <si>
    <t>{ file:'2.16.840.1.113883.10.20.22.4.9.html', href:'https://hl7.org/cda/us/ccda/Binary-allergy-intolerance-observation-medication-example.html', text:'allergy-intolerance-observation-medication-example' },</t>
  </si>
  <si>
    <t>{ file:'2.16.840.1.113883.10.20.22.4.8.html', href:'https://hl7.org/cda/us/ccda/Binary-allergy-intolerance-observation-medication-example.html', text:'allergy-intolerance-observation-medication-example' },</t>
  </si>
  <si>
    <t>{ file:'2.16.840.1.113883.10.20.22.4.145.html', href:'https://hl7.org/cda/us/ccda/Binary-allergy-intolerance-observation-medication-example.html', text:'allergy-intolerance-observation-medication-example' },</t>
  </si>
  <si>
    <t>{ file:'2.16.840.1.113883.10.20.22.4.7.html', href:'https://hl7.org/cda/us/ccda/Binary-allergy-intolerance-observation-nonmedication-example.html', text:'allergy-intolerance-observation-nonmedication-example' },</t>
  </si>
  <si>
    <t>{ file:'2.16.840.1.113883.10.20.24.3.90.html', href:'https://hl7.org/cda/us/ccda/Binary-allergy-intolerance-observation-nonmedication-example.html', text:'allergy-intolerance-observation-nonmedication-example' },</t>
  </si>
  <si>
    <t>{ file:'2.16.840.1.113883.10.20.22.4.119.html', href:'https://hl7.org/cda/us/ccda/Binary-allergy-intolerance-observation-nonmedication-example.html', text:'allergy-intolerance-observation-nonmedication-example' },</t>
  </si>
  <si>
    <t>{ file:'2.16.840.1.113883.10.20.22.4.9.html', href:'https://hl7.org/cda/us/ccda/Binary-allergy-intolerance-observation-nonmedication-example.html', text:'allergy-intolerance-observation-nonmedication-example' },</t>
  </si>
  <si>
    <t>{ file:'2.16.840.1.113883.10.20.22.4.8.html', href:'https://hl7.org/cda/us/ccda/Binary-allergy-intolerance-observation-nonmedication-example.html', text:'allergy-intolerance-observation-nonmedication-example' },</t>
  </si>
  <si>
    <t>{ file:'2.16.840.1.113883.10.20.22.2.6.1.html', href:'https://hl7.org/cda/us/ccda/Binary-allergy-to-food-egg.html', text:'allergy-to-food-egg' },</t>
  </si>
  <si>
    <t>{ file:'2.16.840.1.113883.10.20.22.4.30.html', href:'https://hl7.org/cda/us/ccda/Binary-allergy-to-food-egg.html', text:'allergy-to-food-egg' },</t>
  </si>
  <si>
    <t>{ file:'2.16.840.1.113883.10.20.22.4.119.html', href:'https://hl7.org/cda/us/ccda/Binary-allergy-to-food-egg.html', text:'allergy-to-food-egg' },</t>
  </si>
  <si>
    <t>{ file:'2.16.840.1.113883.10.20.22.4.7.html', href:'https://hl7.org/cda/us/ccda/Binary-allergy-to-food-egg.html', text:'allergy-to-food-egg' },</t>
  </si>
  <si>
    <t>{ file:'2.16.840.1.113883.10.20.24.3.90.html', href:'https://hl7.org/cda/us/ccda/Binary-allergy-to-food-egg.html', text:'allergy-to-food-egg' },</t>
  </si>
  <si>
    <t>{ file:'2.16.840.1.113883.10.20.22.4.9.html', href:'https://hl7.org/cda/us/ccda/Binary-allergy-to-food-egg.html', text:'allergy-to-food-egg' },</t>
  </si>
  <si>
    <t>{ file:'2.16.840.1.113883.10.20.22.4.8.html', href:'https://hl7.org/cda/us/ccda/Binary-allergy-to-food-egg.html', text:'allergy-to-food-egg' },</t>
  </si>
  <si>
    <t>{ file:'2.16.840.1.113883.10.20.22.2.25.html', href:'https://hl7.org/cda/us/ccda/Binary-anesthesia-section-example.html', text:'anesthesia-section-example' },</t>
  </si>
  <si>
    <t>{ file:'2.16.840.1.113883.10.20.22.4.14.html', href:'https://hl7.org/cda/us/ccda/Binary-anesthesia-section-example.html', text:'anesthesia-section-example' },</t>
  </si>
  <si>
    <t>{ file:'2.16.840.1.113883.10.20.22.4.16.html', href:'https://hl7.org/cda/us/ccda/Binary-anesthesia-section-example.html', text:'anesthesia-section-example' },</t>
  </si>
  <si>
    <t>{ file:'2.16.840.1.113883.10.20.22.2.9.html', href:'https://hl7.org/cda/us/ccda/Binary-assessment-and-plan-section-example.html', text:'assessment-and-plan-section-example' },</t>
  </si>
  <si>
    <t>{ file:'2.16.840.1.113883.10.20.22.4.41.html', href:'https://hl7.org/cda/us/ccda/Binary-assessment-and-plan-section-example.html', text:'assessment-and-plan-section-example' },</t>
  </si>
  <si>
    <t>{ file:'2.16.840.1.113883.10.20.22.4.119.html', href:'https://hl7.org/cda/us/ccda/Binary-assessment-and-plan-section-example.html', text:'assessment-and-plan-section-example' },</t>
  </si>
  <si>
    <t>{ file:'2.16.840.1.113883.10.20.22.4.69.html', href:'https://hl7.org/cda/us/ccda/Binary-assessment-scale-observation-example.html', text:'assessment-scale-observation-example' },</t>
  </si>
  <si>
    <t>{ file:'2.16.840.1.113883.10.20.22.4.86.html', href:'https://hl7.org/cda/us/ccda/Binary-assessment-scale-observation-example.html', text:'assessment-scale-observation-example' },</t>
  </si>
  <si>
    <t>{ file:'2.16.840.1.113883.10.20.22.4.86.html', href:'https://hl7.org/cda/us/ccda/Binary-assessment-scale-supporting-observation-example.html', text:'assessment-scale-supporting-observation-example' },</t>
  </si>
  <si>
    <t>{ file:'2.16.840.1.113883.10.20.22.2.8.html', href:'https://hl7.org/cda/us/ccda/Binary-assessment-section-example.html', text:'assessment-section-example' },</t>
  </si>
  <si>
    <t>{ file:'2.16.840.1.113883.10.20.1.19.html', href:'https://hl7.org/cda/us/ccda/Binary-authorization-activity-example.html', text:'authorization-activity-example' },</t>
  </si>
  <si>
    <t>{ file:'2.16.840.1.113883.10.20.22.4.512.html', href:'https://hl7.org/cda/us/ccda/Binary-average-bp-example.html', text:'average-bp-example' },</t>
  </si>
  <si>
    <t>{ file:'2.16.840.1.113883.10.20.22.4.27.html', href:'https://hl7.org/cda/us/ccda/Binary-average-bp-example.html', text:'average-bp-example' },</t>
  </si>
  <si>
    <t>{ file:'2.16.840.1.113883.10.20.22.4.119.html', href:'https://hl7.org/cda/us/ccda/Binary-average-bp-example.html', text:'average-bp-example' },</t>
  </si>
  <si>
    <t>{ file:'2.16.840.1.113883.10.20.22.4.38.html', href:'https://hl7.org/cda/us/ccda/Binary-basic-industry-observation-example.html', text:'basic-industry-observation-example' },</t>
  </si>
  <si>
    <t>{ file:'2.16.840.1.113883.10.20.22.4.504.html', href:'https://hl7.org/cda/us/ccda/Binary-basic-industry-observation-example.html', text:'basic-industry-observation-example' },</t>
  </si>
  <si>
    <t>{ file:'2.16.840.1.113883.10.20.22.4.119.html', href:'https://hl7.org/cda/us/ccda/Binary-basic-industry-observation-example.html', text:'basic-industry-observation-example' },</t>
  </si>
  <si>
    <t>{ file:'2.16.840.1.113883.10.20.22.4.38.html', href:'https://hl7.org/cda/us/ccda/Binary-basic-occupation-observation-example.html', text:'basic-occupation-observation-example' },</t>
  </si>
  <si>
    <t>{ file:'2.16.840.1.113883.10.20.22.4.503.html', href:'https://hl7.org/cda/us/ccda/Binary-basic-occupation-observation-example.html', text:'basic-occupation-observation-example' },</t>
  </si>
  <si>
    <t>{ file:'2.16.840.1.113883.10.20.22.4.119.html', href:'https://hl7.org/cda/us/ccda/Binary-basic-occupation-observation-example.html', text:'basic-occupation-observation-example' },</t>
  </si>
  <si>
    <t>{ file:'2.16.840.1.113883.10.20.22.4.200.html', href:'https://hl7.org/cda/us/ccda/Binary-birth-sex-example-nullflavor.html', text:'birth-sex-example-nullflavor' },</t>
  </si>
  <si>
    <t>{ file:'2.16.840.1.113883.10.20.22.4.200.html', href:'https://hl7.org/cda/us/ccda/Binary-birth-sex-example.html', text:'birth-sex-example' },</t>
  </si>
  <si>
    <t>{ file:'2.16.840.1.113883.10.20.22.4.119.html', href:'https://hl7.org/cda/us/ccda/Binary-birth-sex-example.html', text:'birth-sex-example' },</t>
  </si>
  <si>
    <t>{ file:'2.16.840.1.113883.10.20.22.4.301.html', href:'https://hl7.org/cda/us/ccda/Binary-brand-name-observation-example.html', text:'brand-name-observation-example' },</t>
  </si>
  <si>
    <t>{ file:'2.16.840.1.113883.10.20.22.1.1.html', href:'https://hl7.org/cda/us/ccda/Binary-care-plan-complete-example.html', text:'care-plan-complete-example' },</t>
  </si>
  <si>
    <t>{ file:'2.16.840.1.113883.10.20.22.1.15.html', href:'https://hl7.org/cda/us/ccda/Binary-care-plan-complete-example.html', text:'care-plan-complete-example' },</t>
  </si>
  <si>
    <t>{ file:'2.16.840.1.113883.10.20.22.2.58.html', href:'https://hl7.org/cda/us/ccda/Binary-care-plan-complete-example.html', text:'care-plan-complete-example' },</t>
  </si>
  <si>
    <t>{ file:'2.16.840.1.113883.10.20.22.2.60.html', href:'https://hl7.org/cda/us/ccda/Binary-care-plan-complete-example.html', text:'care-plan-complete-example' },</t>
  </si>
  <si>
    <t>{ file:'2.16.840.1.113883.10.20.22.2.61.html', href:'https://hl7.org/cda/us/ccda/Binary-care-plan-complete-example.html', text:'care-plan-complete-example' },</t>
  </si>
  <si>
    <t>{ file:'2.16.840.1.113883.10.20.22.4.500.1.html', href:'https://hl7.org/cda/us/ccda/Binary-care-team-member-act-example.html', text:'care-team-member-act-example' },</t>
  </si>
  <si>
    <t>{ file:'2.16.840.1.113883.10.20.22.4.49.html', href:'https://hl7.org/cda/us/ccda/Binary-care-team-member-act-example.html', text:'care-team-member-act-example' },</t>
  </si>
  <si>
    <t>{ file:'2.16.840.1.113883.10.20.22.4.500.3.html', href:'https://hl7.org/cda/us/ccda/Binary-care-team-member-schedule-observation-example.html', text:'care-team-member-schedule-observation-example' },</t>
  </si>
  <si>
    <t>{ file:'2.16.840.1.113883.10.20.22.4.500.html', href:'https://hl7.org/cda/us/ccda/Binary-care-team-organizer-example.html', text:'care-team-organizer-example' },</t>
  </si>
  <si>
    <t>{ file:'2.16.840.1.113883.10.20.22.4.500.1.html', href:'https://hl7.org/cda/us/ccda/Binary-care-team-organizer-example.html', text:'care-team-organizer-example' },</t>
  </si>
  <si>
    <t>{ file:'2.16.840.1.113883.10.20.22.4.500.2.html', href:'https://hl7.org/cda/us/ccda/Binary-care-team-type-example.html', text:'care-team-type-example' },</t>
  </si>
  <si>
    <t>{ file:'2.16.840.1.113883.10.20.22.2.500.html', href:'https://hl7.org/cda/us/ccda/Binary-care-teams-section-example.html', text:'care-teams-section-example' },</t>
  </si>
  <si>
    <t>{ file:'2.16.840.1.113883.10.20.22.4.72.html', href:'https://hl7.org/cda/us/ccda/Binary-caregiver-characteristics-example.html', text:'caregiver-characteristics-example' },</t>
  </si>
  <si>
    <t>{ file:'2.16.840.1.113883.10.20.22.4.302.html', href:'https://hl7.org/cda/us/ccda/Binary-catalog-number-observation-example.html', text:'catalog-number-observation-example' },</t>
  </si>
  <si>
    <t>{ file:'2.16.840.1.113883.10.20.22.1.1.html', href:'https://hl7.org/cda/us/ccda/Binary-ccd-header-example.html', text:'ccd-header-example' },</t>
  </si>
  <si>
    <t>{ file:'2.16.840.1.113883.10.20.22.1.2.html', href:'https://hl7.org/cda/us/ccda/Binary-ccd-header-example.html', text:'ccd-header-example' },</t>
  </si>
  <si>
    <t>{ file:'2.16.840.1.113883.10.20.22.5.6.html', href:'https://hl7.org/cda/us/ccda/Binary-ccd-header-example.html', text:'ccd-header-example' },</t>
  </si>
  <si>
    <t>{ file:'2.16.840.1.113883.10.20.22.5.8.html', href:'https://hl7.org/cda/us/ccda/Binary-ccd-header-example.html', text:'ccd-header-example' },</t>
  </si>
  <si>
    <t>{ file:'2.16.840.1.113883.10.20.22.2.22.1.html', href:'https://hl7.org/cda/us/ccda/Binary-ccd-header-example.html', text:'ccd-header-example' },</t>
  </si>
  <si>
    <t>{ file:'2.16.840.1.113883.10.20.22.2.17.html', href:'https://hl7.org/cda/us/ccda/Binary-ccd-header-example.html', text:'ccd-header-example' },</t>
  </si>
  <si>
    <t>{ file:'2.16.840.1.113883.10.20.22.2.6.1.html', href:'https://hl7.org/cda/us/ccda/Binary-ccd-header-example.html', text:'ccd-header-example' },</t>
  </si>
  <si>
    <t>{ file:'2.16.840.1.113883.10.20.22.2.5.1.html', href:'https://hl7.org/cda/us/ccda/Binary-ccd-header-example.html', text:'ccd-header-example' },</t>
  </si>
  <si>
    <t>{ file:'2.16.840.1.113883.10.20.22.2.1.1.html', href:'https://hl7.org/cda/us/ccda/Binary-ccd-header-example.html', text:'ccd-header-example' },</t>
  </si>
  <si>
    <t>{ file:'2.16.840.1.113883.10.20.22.2.3.1.html', href:'https://hl7.org/cda/us/ccda/Binary-ccd-header-example.html', text:'ccd-header-example' },</t>
  </si>
  <si>
    <t>{ file:'2.16.840.1.113883.10.20.22.2.4.1.html', href:'https://hl7.org/cda/us/ccda/Binary-ccd-header-example.html', text:'ccd-header-example' },</t>
  </si>
  <si>
    <t>{ file:'2.16.840.1.113883.10.20.22.4.109.html', href:'https://hl7.org/cda/us/ccda/Binary-characteristics-of-home-environment-example.html', text:'characteristics-of-home-environment-example' },</t>
  </si>
  <si>
    <t>{ file:'2.16.840.1.113883.10.20.22.2.13.html', href:'https://hl7.org/cda/us/ccda/Binary-chief-complaint-and-reason-for-visit-section-example.html', text:'chief-complaint-and-reason-for-visit-section-example' },</t>
  </si>
  <si>
    <t>{ file:'1.3.6.1.4.1.19376.1.5.3.1.1.13.2.1.html', href:'https://hl7.org/cda/us/ccda/Binary-chief-complaint-section-example.html', text:'chief-complaint-section-example' },</t>
  </si>
  <si>
    <t>{ file:'2.16.840.1.113883.10.20.6.2.13.html', href:'https://hl7.org/cda/us/ccda/Binary-code-observation-example.html', text:'code-observation-example' },</t>
  </si>
  <si>
    <t>{ file:'2.16.840.1.113883.10.20.22.4.64.html', href:'https://hl7.org/cda/us/ccda/Binary-comment-activity-example.html', text:'comment-activity-example' },</t>
  </si>
  <si>
    <t>{ file:'2.16.840.1.113883.10.20.22.4.119.html', href:'https://hl7.org/cda/us/ccda/Binary-comment-activity-example.html', text:'comment-activity-example' },</t>
  </si>
  <si>
    <t>{ file:'2.16.840.1.113883.10.20.22.4.303.html', href:'https://hl7.org/cda/us/ccda/Binary-company-name-example.html', text:'company-name-example' },</t>
  </si>
  <si>
    <t>{ file:'2.16.840.1.113883.10.20.22.2.37.html', href:'https://hl7.org/cda/us/ccda/Binary-complications-section-example.html', text:'complications-section-example' },</t>
  </si>
  <si>
    <t>{ file:'2.16.840.1.113883.10.20.22.1.1.html', href:'https://hl7.org/cda/us/ccda/Binary-consultation-note-complete-example.html', text:'consultation-note-complete-example' },</t>
  </si>
  <si>
    <t>{ file:'2.16.840.1.113883.10.20.22.1.4.html', href:'https://hl7.org/cda/us/ccda/Binary-consultation-note-complete-example.html', text:'consultation-note-complete-example' },</t>
  </si>
  <si>
    <t>{ file:'2.16.840.1.113883.10.20.22.2.6.1.html', href:'https://hl7.org/cda/us/ccda/Binary-consultation-note-complete-example.html', text:'consultation-note-complete-example' },</t>
  </si>
  <si>
    <t>{ file:'2.16.840.1.113883.10.20.22.2.5.1.html', href:'https://hl7.org/cda/us/ccda/Binary-consultation-note-complete-example.html', text:'consultation-note-complete-example' },</t>
  </si>
  <si>
    <t>{ file:'2.16.840.1.113883.10.20.22.2.1.1.html', href:'https://hl7.org/cda/us/ccda/Binary-consultation-note-complete-example.html', text:'consultation-note-complete-example' },</t>
  </si>
  <si>
    <t>{ file:'2.16.840.1.113883.10.20.22.2.9.html', href:'https://hl7.org/cda/us/ccda/Binary-consultation-note-complete-example.html', text:'consultation-note-complete-example' },</t>
  </si>
  <si>
    <t>{ file:'1.3.6.1.4.1.19376.1.5.3.1.3.4.html', href:'https://hl7.org/cda/us/ccda/Binary-consultation-note-complete-example.html', text:'consultation-note-complete-example' },</t>
  </si>
  <si>
    <t>{ file:'2.16.840.1.113883.10.20.22.2.3.1.html', href:'https://hl7.org/cda/us/ccda/Binary-consultation-note-complete-example.html', text:'consultation-note-complete-example' },</t>
  </si>
  <si>
    <t>{ file:'2.16.840.1.113883.10.20.22.2.12.html', href:'https://hl7.org/cda/us/ccda/Binary-consultation-note-complete-example.html', text:'consultation-note-complete-example' },</t>
  </si>
  <si>
    <t>{ file:'2.16.840.1.113883.10.20.2.10.html', href:'https://hl7.org/cda/us/ccda/Binary-consultation-note-complete-example.html', text:'consultation-note-complete-example' },</t>
  </si>
  <si>
    <t>{ file:'2.16.840.1.113883.10.20.22.2.64.html', href:'https://hl7.org/cda/us/ccda/Binary-course-of-care-section-example.html', text:'course-of-care-section-example' },</t>
  </si>
  <si>
    <t>{ file:'2.16.840.1.113883.10.20.22.4.60.html', href:'https://hl7.org/cda/us/ccda/Binary-coverage-activity-example.html', text:'coverage-activity-example' },</t>
  </si>
  <si>
    <t>{ file:'2.16.840.1.113883.10.20.22.4.61.html', href:'https://hl7.org/cda/us/ccda/Binary-coverage-activity-example.html', text:'coverage-activity-example' },</t>
  </si>
  <si>
    <t>{ file:'2.16.840.1.113883.10.20.22.4.87.html', href:'https://hl7.org/cda/us/ccda/Binary-coverage-activity-example.html', text:'coverage-activity-example' },</t>
  </si>
  <si>
    <t>{ file:'2.16.840.1.113883.10.20.22.4.89.html', href:'https://hl7.org/cda/us/ccda/Binary-coverage-activity-example.html', text:'coverage-activity-example' },</t>
  </si>
  <si>
    <t>{ file:'2.16.840.1.113883.10.20.22.4.145.html', href:'https://hl7.org/cda/us/ccda/Binary-criticality-observation-example.html', text:'criticality-observation-example' },</t>
  </si>
  <si>
    <t>{ file:'2.16.840.1.113883.10.20.22.4.111.html', href:'https://hl7.org/cda/us/ccda/Binary-cultural-and-religious-observation-example.html', text:'cultural-and-religious-observation-example' },</t>
  </si>
  <si>
    <t>{ file:'2.16.840.1.113883.10.20.22.4.502.html', href:'https://hl7.org/cda/us/ccda/Binary-date-of-diagnosis-act-example.html', text:'date-of-diagnosis-act-example' },</t>
  </si>
  <si>
    <t>{ file:'2.16.840.1.113883.10.20.22.4.79.html', href:'https://hl7.org/cda/us/ccda/Binary-deceased-observation-example.html', text:'deceased-observation-example' },</t>
  </si>
  <si>
    <t>{ file:'2.16.840.1.113883.10.20.22.4.304.html', href:'https://hl7.org/cda/us/ccda/Binary-device-identifier-observation-example.html', text:'device-identifier-observation-example' },</t>
  </si>
  <si>
    <t>{ file:'2.16.840.1.113883.10.20.22.4.122.html', href:'https://hl7.org/cda/us/ccda/Binary-diagnosis-reference-example.html', text:'diagnosis-reference-example' },</t>
  </si>
  <si>
    <t>{ file:'2.16.840.1.113883.10.20.22.4.33.html', href:'https://hl7.org/cda/us/ccda/Binary-diagnosis-reference-example.html', text:'diagnosis-reference-example' },</t>
  </si>
  <si>
    <t>{ file:'2.16.840.1.113883.10.20.22.4.505.html', href:'https://hl7.org/cda/us/ccda/Binary-disability-status-observation-example.html', text:'disability-status-observation-example' },</t>
  </si>
  <si>
    <t>{ file:'2.16.840.1.113883.10.20.22.4.69.html', href:'https://hl7.org/cda/us/ccda/Binary-disability-status-observation-example.html', text:'disability-status-observation-example' },</t>
  </si>
  <si>
    <t>{ file:'2.16.840.1.113883.10.20.22.4.86.html', href:'https://hl7.org/cda/us/ccda/Binary-disability-status-observation-example.html', text:'disability-status-observation-example' },</t>
  </si>
  <si>
    <t>{ file:'2.16.840.1.113883.10.20.22.2.24.html', href:'https://hl7.org/cda/us/ccda/Binary-discharge-diagnosis-section-example.html', text:'discharge-diagnosis-section-example' },</t>
  </si>
  <si>
    <t>{ file:'2.16.840.1.113883.10.20.22.4.33.html', href:'https://hl7.org/cda/us/ccda/Binary-discharge-diagnosis-section-example.html', text:'discharge-diagnosis-section-example' },</t>
  </si>
  <si>
    <t>{ file:'2.16.840.1.113883.10.20.22.4.4.html', href:'https://hl7.org/cda/us/ccda/Binary-discharge-diagnosis-section-example.html', text:'discharge-diagnosis-section-example' },</t>
  </si>
  <si>
    <t>{ file:'2.16.840.1.113883.10.20.22.4.35.html', href:'https://hl7.org/cda/us/ccda/Binary-discharge-medication-example.html', text:'discharge-medication-example' },</t>
  </si>
  <si>
    <t>{ file:'2.16.840.1.113883.10.20.22.4.16.html', href:'https://hl7.org/cda/us/ccda/Binary-discharge-medication-example.html', text:'discharge-medication-example' },</t>
  </si>
  <si>
    <t>{ file:'2.16.840.1.113883.10.20.22.4.23.html', href:'https://hl7.org/cda/us/ccda/Binary-discharge-medication-example.html', text:'discharge-medication-example' },</t>
  </si>
  <si>
    <t>{ file:'2.16.840.1.113883.10.20.22.2.11.1.html', href:'https://hl7.org/cda/us/ccda/Binary-discharge-medications-section-example.html', text:'discharge-medications-section-example' },</t>
  </si>
  <si>
    <t>{ file:'2.16.840.1.113883.10.20.22.4.35.html', href:'https://hl7.org/cda/us/ccda/Binary-discharge-medications-section-example.html', text:'discharge-medications-section-example' },</t>
  </si>
  <si>
    <t>{ file:'2.16.840.1.113883.10.20.22.4.16.html', href:'https://hl7.org/cda/us/ccda/Binary-discharge-medications-section-example.html', text:'discharge-medications-section-example' },</t>
  </si>
  <si>
    <t>{ file:'2.16.840.1.113883.10.20.22.4.23.html', href:'https://hl7.org/cda/us/ccda/Binary-discharge-medications-section-example.html', text:'discharge-medications-section-example' },</t>
  </si>
  <si>
    <t>{ file:'2.16.840.1.113883.10.20.22.1.1.html', href:'https://hl7.org/cda/us/ccda/Binary-discharge-summary-header-example.html', text:'discharge-summary-header-example' },</t>
  </si>
  <si>
    <t>{ file:'2.16.840.1.113883.10.20.22.1.8.html', href:'https://hl7.org/cda/us/ccda/Binary-discharge-summary-header-example.html', text:'discharge-summary-header-example' },</t>
  </si>
  <si>
    <t>{ file:'1.3.6.1.4.1.19376.1.5.3.1.3.5.html', href:'https://hl7.org/cda/us/ccda/Binary-discharge-summary-header-example.html', text:'discharge-summary-header-example' },</t>
  </si>
  <si>
    <t>{ file:'2.16.840.1.113883.10.20.22.2.24.html', href:'https://hl7.org/cda/us/ccda/Binary-discharge-summary-header-example.html', text:'discharge-summary-header-example' },</t>
  </si>
  <si>
    <t>{ file:'2.16.840.1.113883.10.20.22.2.10.html', href:'https://hl7.org/cda/us/ccda/Binary-discharge-summary-header-example.html', text:'discharge-summary-header-example' },</t>
  </si>
  <si>
    <t>{ file:'2.16.840.1.113883.10.20.22.2.42.html', href:'https://hl7.org/cda/us/ccda/Binary-discharge-summary-header-example.html', text:'discharge-summary-header-example' },</t>
  </si>
  <si>
    <t>{ file:'2.16.840.1.113883.10.20.22.2.11.1.html', href:'https://hl7.org/cda/us/ccda/Binary-discharge-summary-header-example.html', text:'discharge-summary-header-example' },</t>
  </si>
  <si>
    <t>{ file:'2.16.840.1.113883.10.20.22.2.6.1.html', href:'https://hl7.org/cda/us/ccda/Binary-discharge-summary-header-example.html', text:'discharge-summary-header-example' },</t>
  </si>
  <si>
    <t>{ file:'2.16.840.1.113883.10.20.22.2.3.1.html', href:'https://hl7.org/cda/us/ccda/Binary-discharge-summary-header-example.html', text:'discharge-summary-header-example' },</t>
  </si>
  <si>
    <t>{ file:'2.16.840.1.113883.10.20.22.2.7.1.html', href:'https://hl7.org/cda/us/ccda/Binary-discharge-summary-header-example.html', text:'discharge-summary-header-example' },</t>
  </si>
  <si>
    <t>{ file:'2.16.840.1.113883.10.20.22.4.308.html', href:'https://hl7.org/cda/us/ccda/Binary-distinct-identification-code-observation-example.html', text:'distinct-identification-code-observation-example' },</t>
  </si>
  <si>
    <t>{ file:'2.16.840.1.113883.10.20.22.4.123.html', href:'https://hl7.org/cda/us/ccda/Binary-drug-monitoring-act-example.html', text:'drug-monitoring-act-example' },</t>
  </si>
  <si>
    <t>{ file:'2.16.840.1.113883.10.20.22.4.24.html', href:'https://hl7.org/cda/us/ccda/Binary-drug-vehicle-example.html', text:'drug-vehicle-example' },</t>
  </si>
  <si>
    <t>{ file:'2.16.840.1.113883.10.20.22.4.49.html', href:'https://hl7.org/cda/us/ccda/Binary-encounter-activity-example.html', text:'encounter-activity-example' },</t>
  </si>
  <si>
    <t>{ file:'2.16.840.1.113883.10.20.22.4.32.html', href:'https://hl7.org/cda/us/ccda/Binary-encounter-activity-example.html', text:'encounter-activity-example' },</t>
  </si>
  <si>
    <t>{ file:'2.16.840.1.113883.10.20.22.4.19.html', href:'https://hl7.org/cda/us/ccda/Binary-encounter-activity-example.html', text:'encounter-activity-example' },</t>
  </si>
  <si>
    <t>{ file:'2.16.840.1.113883.10.20.22.4.80.html', href:'https://hl7.org/cda/us/ccda/Binary-encounter-diagnosis-example.html', text:'encounter-diagnosis-example' },</t>
  </si>
  <si>
    <t>{ file:'2.16.840.1.113883.10.20.22.4.4.html', href:'https://hl7.org/cda/us/ccda/Binary-encounter-diagnosis-example.html', text:'encounter-diagnosis-example' },</t>
  </si>
  <si>
    <t>{ file:'2.16.840.1.113883.10.20.22.4.119.html', href:'https://hl7.org/cda/us/ccda/Binary-encounter-diagnosis-example.html', text:'encounter-diagnosis-example' },</t>
  </si>
  <si>
    <t>{ file:'2.16.840.1.113883.10.20.22.2.22.1.html', href:'https://hl7.org/cda/us/ccda/Binary-encounters-section-example.html', text:'encounters-section-example' },</t>
  </si>
  <si>
    <t>{ file:'2.16.840.1.113883.10.20.22.4.49.html', href:'https://hl7.org/cda/us/ccda/Binary-encounters-section-example.html', text:'encounters-section-example' },</t>
  </si>
  <si>
    <t>{ file:'2.16.840.1.113883.10.20.22.4.132.html', href:'https://hl7.org/cda/us/ccda/Binary-entry-reference-example.html', text:'entry-reference-example' },</t>
  </si>
  <si>
    <t>{ file:'2.16.840.1.113883.10.20.22.4.4.html', href:'https://hl7.org/cda/us/ccda/Binary-entry-reference-example.html', text:'entry-reference-example' },</t>
  </si>
  <si>
    <t>{ file:'2.16.840.1.113883.10.20.22.4.122.html', href:'https://hl7.org/cda/us/ccda/Binary-entry-reference-example.html', text:'entry-reference-example' },</t>
  </si>
  <si>
    <t>{ file:'2.16.840.1.113883.10.20.15.3.1.html', href:'https://hl7.org/cda/us/ccda/Binary-estimated-date-of-delivery-example.html', text:'estimated-date-of-delivery-example' },</t>
  </si>
  <si>
    <t>{ file:'2.16.840.1.113883.10.20.22.4.115.html', href:'https://hl7.org/cda/us/ccda/Binary-external-document-reference-example.html', text:'external-document-reference-example' },</t>
  </si>
  <si>
    <t>{ file:'2.16.840.1.113883.10.20.22.4.47.html', href:'https://hl7.org/cda/us/ccda/Binary-family-history-death-observation-example.html', text:'family-history-death-observation-example' },</t>
  </si>
  <si>
    <t>{ file:'2.16.840.1.113883.10.20.22.4.46.html', href:'https://hl7.org/cda/us/ccda/Binary-family-history-observation-example.html', text:'family-history-observation-example' },</t>
  </si>
  <si>
    <t>{ file:'2.16.840.1.113883.10.20.22.4.47.html', href:'https://hl7.org/cda/us/ccda/Binary-family-history-observation-example.html', text:'family-history-observation-example' },</t>
  </si>
  <si>
    <t>{ file:'2.16.840.1.113883.10.20.22.4.31.html', href:'https://hl7.org/cda/us/ccda/Binary-family-history-observation-example.html', text:'family-history-observation-example' },</t>
  </si>
  <si>
    <t>{ file:'2.16.840.1.113883.10.20.22.4.45.html', href:'https://hl7.org/cda/us/ccda/Binary-family-history-organizer-example.html', text:'family-history-organizer-example' },</t>
  </si>
  <si>
    <t>{ file:'2.16.840.1.113883.10.20.22.4.46.html', href:'https://hl7.org/cda/us/ccda/Binary-family-history-organizer-example.html', text:'family-history-organizer-example' },</t>
  </si>
  <si>
    <t>{ file:'2.16.840.1.113883.10.20.22.4.47.html', href:'https://hl7.org/cda/us/ccda/Binary-family-history-organizer-example.html', text:'family-history-organizer-example' },</t>
  </si>
  <si>
    <t>{ file:'2.16.840.1.113883.10.20.22.2.15.html', href:'https://hl7.org/cda/us/ccda/Binary-family-history-section-example.html', text:'family-history-section-example' },</t>
  </si>
  <si>
    <t>{ file:'2.16.840.1.113883.10.20.22.4.45.html', href:'https://hl7.org/cda/us/ccda/Binary-family-history-section-example.html', text:'family-history-section-example' },</t>
  </si>
  <si>
    <t>{ file:'2.16.840.1.113883.10.20.22.4.67.html', href:'https://hl7.org/cda/us/ccda/Binary-functional-status-observation-example.html', text:'functional-status-observation-example' },</t>
  </si>
  <si>
    <t>{ file:'2.16.840.1.113883.10.20.22.4.119.html', href:'https://hl7.org/cda/us/ccda/Binary-functional-status-observation-example.html', text:'functional-status-observation-example' },</t>
  </si>
  <si>
    <t>{ file:'2.16.840.1.113883.10.20.22.4.66.html', href:'https://hl7.org/cda/us/ccda/Binary-functional-status-organizer-example.html', text:'functional-status-organizer-example' },</t>
  </si>
  <si>
    <t>{ file:'2.16.840.1.113883.10.20.22.4.119.html', href:'https://hl7.org/cda/us/ccda/Binary-functional-status-organizer-example.html', text:'functional-status-organizer-example' },</t>
  </si>
  <si>
    <t>{ file:'2.16.840.1.113883.10.20.22.4.67.html', href:'https://hl7.org/cda/us/ccda/Binary-functional-status-organizer-example.html', text:'functional-status-organizer-example' },</t>
  </si>
  <si>
    <t>{ file:'2.16.840.1.113883.10.20.22.4.128.html', href:'https://hl7.org/cda/us/ccda/Binary-functional-status-organizer-example.html', text:'functional-status-organizer-example' },</t>
  </si>
  <si>
    <t>{ file:'2.16.840.1.113883.10.20.22.2.14.html', href:'https://hl7.org/cda/us/ccda/Binary-functional-status-section-example.html', text:'functional-status-section-example' },</t>
  </si>
  <si>
    <t>{ file:'2.16.840.1.113883.10.20.22.4.128.html', href:'https://hl7.org/cda/us/ccda/Binary-functional-status-section-example.html', text:'functional-status-section-example' },</t>
  </si>
  <si>
    <t>{ file:'2.16.840.1.113883.10.20.22.4.127.html', href:'https://hl7.org/cda/us/ccda/Binary-functional-status-section-example.html', text:'functional-status-section-example' },</t>
  </si>
  <si>
    <t>{ file:'2.16.840.1.113883.10.20.22.4.66.html', href:'https://hl7.org/cda/us/ccda/Binary-functional-status-section-example.html', text:'functional-status-section-example' },</t>
  </si>
  <si>
    <t>{ file:'2.16.840.1.113883.10.20.22.4.67.html', href:'https://hl7.org/cda/us/ccda/Binary-functional-status-section-example.html', text:'functional-status-section-example' },</t>
  </si>
  <si>
    <t>{ file:'2.16.840.1.113883.10.20.22.4.72.html', href:'https://hl7.org/cda/us/ccda/Binary-functional-status-section-example.html', text:'functional-status-section-example' },</t>
  </si>
  <si>
    <t>{ file:'2.16.840.1.113883.10.20.34.3.45.html', href:'https://hl7.org/cda/us/ccda/Binary-gender-identity-observation-example.html', text:'gender-identity-observation-example' },</t>
  </si>
  <si>
    <t>{ file:'2.16.840.1.113883.10.20.34.3.45.html', href:'https://hl7.org/cda/us/ccda/Binary-gender-identity-observation-nullflavor-example.html', text:'gender-identity-observation-nullflavor-example' },</t>
  </si>
  <si>
    <t>{ file:'2.16.840.1.113883.10.20.2.5.html', href:'https://hl7.org/cda/us/ccda/Binary-general-status-section-example.html', text:'general-status-section-example' },</t>
  </si>
  <si>
    <t>{ file:'2.16.840.1.113883.10.20.22.4.121.html', href:'https://hl7.org/cda/us/ccda/Binary-goal-observation-example.html', text:'goal-observation-example' },</t>
  </si>
  <si>
    <t>{ file:'2.16.840.1.113883.10.20.22.4.119.html', href:'https://hl7.org/cda/us/ccda/Binary-goal-observation-example.html', text:'goal-observation-example' },</t>
  </si>
  <si>
    <t>{ file:'2.16.840.1.113883.10.20.22.4.122.html', href:'https://hl7.org/cda/us/ccda/Binary-goal-observation-example.html', text:'goal-observation-example' },</t>
  </si>
  <si>
    <t>{ file:'2.16.840.1.113883.10.20.22.4.143.html', href:'https://hl7.org/cda/us/ccda/Binary-goal-observation-example.html', text:'goal-observation-example' },</t>
  </si>
  <si>
    <t>{ file:'2.16.840.1.113883.10.20.22.2.60.html', href:'https://hl7.org/cda/us/ccda/Binary-goals-section-example.html', text:'goals-section-example' },</t>
  </si>
  <si>
    <t>{ file:'2.16.840.1.113883.10.20.22.4.121.html', href:'https://hl7.org/cda/us/ccda/Binary-goals-section-example.html', text:'goals-section-example' },</t>
  </si>
  <si>
    <t>{ file:'2.16.840.1.113883.10.20.22.4.119.html', href:'https://hl7.org/cda/us/ccda/Binary-goals-section-example.html', text:'goals-section-example' },</t>
  </si>
  <si>
    <t>{ file:'2.16.840.1.113883.10.20.22.4.122.html', href:'https://hl7.org/cda/us/ccda/Binary-goals-section-example.html', text:'goals-section-example' },</t>
  </si>
  <si>
    <t>{ file:'2.16.840.1.113883.10.20.22.4.141.html', href:'https://hl7.org/cda/us/ccda/Binary-handoff-communication-example.html', text:'handoff-communication-example' },</t>
  </si>
  <si>
    <t>{ file:'2.16.840.1.113883.10.20.22.4.119.html', href:'https://hl7.org/cda/us/ccda/Binary-handoff-communication-example.html', text:'handoff-communication-example' },</t>
  </si>
  <si>
    <t>{ file:'2.16.840.1.113883.10.20.22.4.132.html', href:'https://hl7.org/cda/us/ccda/Binary-health-concern-act-example.html', text:'health-concern-act-example' },</t>
  </si>
  <si>
    <t>{ file:'2.16.840.1.113883.10.20.22.4.85.html', href:'https://hl7.org/cda/us/ccda/Binary-health-concern-act-example.html', text:'health-concern-act-example' },</t>
  </si>
  <si>
    <t>{ file:'2.16.840.1.113883.10.20.22.2.58.html', href:'https://hl7.org/cda/us/ccda/Binary-health-concerns-section-example.html', text:'health-concerns-section-example' },</t>
  </si>
  <si>
    <t>{ file:'2.16.840.1.113883.10.20.22.4.5.html', href:'https://hl7.org/cda/us/ccda/Binary-health-concerns-section-example.html', text:'health-concerns-section-example' },</t>
  </si>
  <si>
    <t>{ file:'2.16.840.1.113883.10.20.22.4.132.html', href:'https://hl7.org/cda/us/ccda/Binary-health-concerns-section-example.html', text:'health-concerns-section-example' },</t>
  </si>
  <si>
    <t>{ file:'2.16.840.1.113883.10.20.22.4.85.html', href:'https://hl7.org/cda/us/ccda/Binary-health-concerns-section-example.html', text:'health-concerns-section-example' },</t>
  </si>
  <si>
    <t>{ file:'2.16.840.1.113883.10.20.22.4.5.html', href:'https://hl7.org/cda/us/ccda/Binary-health-status-observation-example.html', text:'health-status-observation-example' },</t>
  </si>
  <si>
    <t>{ file:'2.16.840.1.113883.10.20.22.4.77.html', href:'https://hl7.org/cda/us/ccda/Binary-highest-pressure-ulcer-stage-example.html', text:'highest-pressure-ulcer-stage-example' },</t>
  </si>
  <si>
    <t>{ file:'2.16.840.1.113883.10.20.22.1.1.html', href:'https://hl7.org/cda/us/ccda/Binary-history-and-physical-header-example.html', text:'history-and-physical-header-example' },</t>
  </si>
  <si>
    <t>{ file:'2.16.840.1.113883.10.20.22.1.3.html', href:'https://hl7.org/cda/us/ccda/Binary-history-and-physical-header-example.html', text:'history-and-physical-header-example' },</t>
  </si>
  <si>
    <t>{ file:'2.16.840.1.113883.10.20.22.2.6.1.html', href:'https://hl7.org/cda/us/ccda/Binary-history-and-physical-header-example.html', text:'history-and-physical-header-example' },</t>
  </si>
  <si>
    <t>{ file:'2.16.840.1.113883.10.20.22.2.5.1.html', href:'https://hl7.org/cda/us/ccda/Binary-history-and-physical-header-example.html', text:'history-and-physical-header-example' },</t>
  </si>
  <si>
    <t>{ file:'2.16.840.1.113883.10.20.22.2.1.1.html', href:'https://hl7.org/cda/us/ccda/Binary-history-and-physical-header-example.html', text:'history-and-physical-header-example' },</t>
  </si>
  <si>
    <t>{ file:'2.16.840.1.113883.10.20.22.2.9.html', href:'https://hl7.org/cda/us/ccda/Binary-history-and-physical-header-example.html', text:'history-and-physical-header-example' },</t>
  </si>
  <si>
    <t>{ file:'1.3.6.1.4.1.19376.1.5.3.1.3.4.html', href:'https://hl7.org/cda/us/ccda/Binary-history-and-physical-header-example.html', text:'history-and-physical-header-example' },</t>
  </si>
  <si>
    <t>{ file:'2.16.840.1.113883.10.20.22.2.3.1.html', href:'https://hl7.org/cda/us/ccda/Binary-history-and-physical-header-example.html', text:'history-and-physical-header-example' },</t>
  </si>
  <si>
    <t>{ file:'2.16.840.1.113883.10.20.22.2.12.html', href:'https://hl7.org/cda/us/ccda/Binary-history-and-physical-header-example.html', text:'history-and-physical-header-example' },</t>
  </si>
  <si>
    <t>{ file:'2.16.840.1.113883.10.20.2.10.html', href:'https://hl7.org/cda/us/ccda/Binary-history-and-physical-header-example.html', text:'history-and-physical-header-example' },</t>
  </si>
  <si>
    <t>{ file:'2.16.840.1.113883.10.20.22.2.4.1.html', href:'https://hl7.org/cda/us/ccda/Binary-history-and-physical-header-example.html', text:'history-and-physical-header-example' },</t>
  </si>
  <si>
    <t>{ file:'2.16.840.1.113883.10.20.22.2.17.html', href:'https://hl7.org/cda/us/ccda/Binary-history-and-physical-header-example.html', text:'history-and-physical-header-example' },</t>
  </si>
  <si>
    <t>{ file:'2.16.840.1.113883.10.20.22.2.15.html', href:'https://hl7.org/cda/us/ccda/Binary-history-and-physical-header-example.html', text:'history-and-physical-header-example' },</t>
  </si>
  <si>
    <t>{ file:'2.16.840.1.113883.10.20.22.2.20.html', href:'https://hl7.org/cda/us/ccda/Binary-history-and-physical-header-example.html', text:'history-and-physical-header-example' },</t>
  </si>
  <si>
    <t>{ file:'2.16.840.1.113883.10.20.2.5.html', href:'https://hl7.org/cda/us/ccda/Binary-history-and-physical-header-example.html', text:'history-and-physical-header-example' },</t>
  </si>
  <si>
    <t>{ file:'1.3.6.1.4.1.19376.1.5.3.1.3.18.html', href:'https://hl7.org/cda/us/ccda/Binary-history-and-physical-header-example.html', text:'history-and-physical-header-example' },</t>
  </si>
  <si>
    <t>{ file:'1.3.6.1.4.1.19376.1.5.3.1.3.4.html', href:'https://hl7.org/cda/us/ccda/Binary-history-of-present-illness-section-example.html', text:'history-of-present-illness-section-example' },</t>
  </si>
  <si>
    <t>{ file:'2.16.840.1.113883.10.20.22.4.34.html', href:'https://hl7.org/cda/us/ccda/Binary-hospital-admission-diagnosis-example.html', text:'hospital-admission-diagnosis-example' },</t>
  </si>
  <si>
    <t>{ file:'2.16.840.1.113883.10.20.22.4.4.html', href:'https://hl7.org/cda/us/ccda/Binary-hospital-admission-diagnosis-example.html', text:'hospital-admission-diagnosis-example' },</t>
  </si>
  <si>
    <t>{ file:'2.16.840.1.113883.10.20.22.4.119.html', href:'https://hl7.org/cda/us/ccda/Binary-hospital-admission-diagnosis-example.html', text:'hospital-admission-diagnosis-example' },</t>
  </si>
  <si>
    <t>{ file:'2.16.840.1.113883.10.20.22.2.42.html', href:'https://hl7.org/cda/us/ccda/Binary-hospital-consultations-section-example.html', text:'hospital-consultations-section-example' },</t>
  </si>
  <si>
    <t>{ file:'1.3.6.1.4.1.19376.1.5.3.1.3.5.html', href:'https://hl7.org/cda/us/ccda/Binary-hospital-course-section-example.html', text:'hospital-course-section-example' },</t>
  </si>
  <si>
    <t>{ file:'2.16.840.1.113883.10.20.22.4.33.html', href:'https://hl7.org/cda/us/ccda/Binary-hospital-discharge-diagnosis-example.html', text:'hospital-discharge-diagnosis-example' },</t>
  </si>
  <si>
    <t>{ file:'2.16.840.1.113883.10.20.22.4.4.html', href:'https://hl7.org/cda/us/ccda/Binary-hospital-discharge-diagnosis-example.html', text:'hospital-discharge-diagnosis-example' },</t>
  </si>
  <si>
    <t>{ file:'2.16.840.1.113883.10.20.22.4.119.html', href:'https://hl7.org/cda/us/ccda/Binary-hospital-discharge-diagnosis-example.html', text:'hospital-discharge-diagnosis-example' },</t>
  </si>
  <si>
    <t>{ file:'2.16.840.1.113883.10.20.22.2.41.html', href:'https://hl7.org/cda/us/ccda/Binary-hospital-discharge-instructions-section-example.html', text:'hospital-discharge-instructions-section-example' },</t>
  </si>
  <si>
    <t>{ file:'1.3.6.1.4.1.19376.1.5.3.1.3.26.html', href:'https://hl7.org/cda/us/ccda/Binary-hospital-discharge-physical-section-example.html', text:'hospital-discharge-physical-section-example' },</t>
  </si>
  <si>
    <t>{ file:'2.16.840.1.113883.10.20.22.2.16.html', href:'https://hl7.org/cda/us/ccda/Binary-hospital-discharge-studies-summary-section-example.html', text:'hospital-discharge-studies-summary-section-example' },</t>
  </si>
  <si>
    <t>{ file:'2.16.840.1.113883.10.20.22.4.52.html', href:'https://hl7.org/cda/us/ccda/Binary-immunization-activity-example.html', text:'immunization-activity-example' },</t>
  </si>
  <si>
    <t>{ file:'2.16.840.1.113883.10.20.22.4.54.html', href:'https://hl7.org/cda/us/ccda/Binary-immunization-activity-example.html', text:'immunization-activity-example' },</t>
  </si>
  <si>
    <t>{ file:'2.16.840.1.113883.10.20.22.4.54.html', href:'https://hl7.org/cda/us/ccda/Binary-immunization-medication-information-example.html', text:'immunization-medication-information-example' },</t>
  </si>
  <si>
    <t>{ file:'2.16.840.1.113883.10.20.22.4.53.html', href:'https://hl7.org/cda/us/ccda/Binary-immunization-notgiven-reason-example.html', text:'immunization-notgiven-reason-example' },</t>
  </si>
  <si>
    <t>{ file:'2.16.840.1.113883.10.20.22.2.2.1.html', href:'https://hl7.org/cda/us/ccda/Binary-immunizations-section-example.html', text:'immunizations-section-example' },</t>
  </si>
  <si>
    <t>{ file:'2.16.840.1.113883.10.20.22.4.52.html', href:'https://hl7.org/cda/us/ccda/Binary-immunizations-section-example.html', text:'immunizations-section-example' },</t>
  </si>
  <si>
    <t>{ file:'2.16.840.1.113883.10.20.22.4.54.html', href:'https://hl7.org/cda/us/ccda/Binary-immunizations-section-example.html', text:'immunizations-section-example' },</t>
  </si>
  <si>
    <t>{ file:'2.16.840.1.113883.10.20.22.4.305.html', href:'https://hl7.org/cda/us/ccda/Binary-implantable-device-status-observation-example.html', text:'implantable-device-status-observation-example' },</t>
  </si>
  <si>
    <t>{ file:'2.16.840.1.113883.10.20.22.4.23.html', href:'https://hl7.org/cda/us/ccda/Binary-indication-example.html', text:'indication-example' },</t>
  </si>
  <si>
    <t>{ file:'2.16.840.1.113883.10.20.22.4.19.html', href:'https://hl7.org/cda/us/ccda/Binary-indication-example.html', text:'indication-example' },</t>
  </si>
  <si>
    <t>{ file:'2.16.840.1.113883.10.20.22.4.4.html', href:'https://hl7.org/cda/us/ccda/Binary-indication-example.html', text:'indication-example' },</t>
  </si>
  <si>
    <t>{ file:'2.16.840.1.113883.10.20.22.4.515.html', href:'https://hl7.org/cda/us/ccda/Binary-instruction-example.html', text:'instruction-example' },</t>
  </si>
  <si>
    <t>{ file:'2.16.840.1.113883.10.20.22.2.45.html', href:'https://hl7.org/cda/us/ccda/Binary-instructions-section-example.html', text:'instructions-section-example' },</t>
  </si>
  <si>
    <t>{ file:'2.16.840.1.113883.10.20.22.4.20.html', href:'https://hl7.org/cda/us/ccda/Binary-instructions-section-example.html', text:'instructions-section-example' },</t>
  </si>
  <si>
    <t>{ file:'2.16.840.1.113883.10.20.22.4.131.html', href:'https://hl7.org/cda/us/ccda/Binary-intervention-act-moodcodeint-example.html', text:'intervention-act-moodcodeint-example' },</t>
  </si>
  <si>
    <t>{ file:'2.16.840.1.113883.10.20.22.4.14.html', href:'https://hl7.org/cda/us/ccda/Binary-intervention-act-moodcodeint-example.html', text:'intervention-act-moodcodeint-example' },</t>
  </si>
  <si>
    <t>{ file:'2.16.840.1.113883.10.20.22.4.122.html', href:'https://hl7.org/cda/us/ccda/Binary-intervention-act-moodcodeint-example.html', text:'intervention-act-moodcodeint-example' },</t>
  </si>
  <si>
    <t>{ file:'2.16.840.1.113883.10.20.22.4.121.html', href:'https://hl7.org/cda/us/ccda/Binary-intervention-act-moodcodeint-example.html', text:'intervention-act-moodcodeint-example' },</t>
  </si>
  <si>
    <t>{ file:'2.16.840.1.113883.10.20.22.4.314.html', href:'https://hl7.org/cda/us/ccda/Binary-latex-safety-observation-example.html', text:'latex-safety-observation-example' },</t>
  </si>
  <si>
    <t>{ file:'2.16.840.1.113883.10.20.22.4.114.html', href:'https://hl7.org/cda/us/ccda/Binary-longitudinal-care-wound-observation-example.html', text:'longitudinal-care-wound-observation-example' },</t>
  </si>
  <si>
    <t>{ file:'2.16.840.1.113883.10.20.22.4.4.html', href:'https://hl7.org/cda/us/ccda/Binary-longitudinal-care-wound-observation-example.html', text:'longitudinal-care-wound-observation-example' },</t>
  </si>
  <si>
    <t>{ file:'2.16.840.1.113883.10.20.22.4.315.html', href:'https://hl7.org/cda/us/ccda/Binary-lot-or-batch-number-observation-example.html', text:'lot-or-batch-number-observation-example' },</t>
  </si>
  <si>
    <t>{ file:'2.16.840.1.113883.10.20.22.4.316.html', href:'https://hl7.org/cda/us/ccda/Binary-manufacturing-date-observation-example.html', text:'manufacturing-date-observation-example' },</t>
  </si>
  <si>
    <t>{ file:'2.16.840.1.113883.10.20.22.4.135.html', href:'https://hl7.org/cda/us/ccda/Binary-medical-equipment-organizer-example.html', text:'medical-equipment-organizer-example' },</t>
  </si>
  <si>
    <t>{ file:'2.16.840.1.113883.10.20.22.4.50.html', href:'https://hl7.org/cda/us/ccda/Binary-medical-equipment-organizer-example.html', text:'medical-equipment-organizer-example' },</t>
  </si>
  <si>
    <t>{ file:'2.16.840.1.113883.10.20.22.2.23.html', href:'https://hl7.org/cda/us/ccda/Binary-medical-equipment-section-example.html', text:'medical-equipment-section-example' },</t>
  </si>
  <si>
    <t>{ file:'2.16.840.1.113883.10.20.22.4.50.html', href:'https://hl7.org/cda/us/ccda/Binary-medical-equipment-section-example.html', text:'medical-equipment-section-example' },</t>
  </si>
  <si>
    <t>{ file:'2.16.840.1.113883.10.20.22.4.37.html', href:'https://hl7.org/cda/us/ccda/Binary-medical-equipment-section-example.html', text:'medical-equipment-section-example' },</t>
  </si>
  <si>
    <t>{ file:'2.16.840.1.113883.10.20.22.4.16.html', href:'https://hl7.org/cda/us/ccda/Binary-medication-activity-example.html', text:'medication-activity-example' },</t>
  </si>
  <si>
    <t>{ file:'2.16.840.1.113883.10.20.22.4.23.html', href:'https://hl7.org/cda/us/ccda/Binary-medication-activity-example.html', text:'medication-activity-example' },</t>
  </si>
  <si>
    <t>{ file:'2.16.840.1.113883.10.20.22.4.119.html', href:'https://hl7.org/cda/us/ccda/Binary-medication-activity-example.html', text:'medication-activity-example' },</t>
  </si>
  <si>
    <t>{ file:'2.16.840.1.113883.10.20.22.4.19.html', href:'https://hl7.org/cda/us/ccda/Binary-medication-activity-example.html', text:'medication-activity-example' },</t>
  </si>
  <si>
    <t>{ file:'2.16.840.1.113883.10.20.22.4.508.html', href:'https://hl7.org/cda/us/ccda/Binary-medication-adherence-example.html', text:'medication-adherence-example' },</t>
  </si>
  <si>
    <t>{ file:'2.16.840.1.113883.10.20.22.4.508.html', href:'https://hl7.org/cda/us/ccda/Binary-medication-adherence-nullflavor-example.html', text:'medication-adherence-nullflavor-example' },</t>
  </si>
  <si>
    <t>{ file:'2.16.840.1.113883.10.20.22.4.18.html', href:'https://hl7.org/cda/us/ccda/Binary-medication-dispense-example.html', text:'medication-dispense-example' },</t>
  </si>
  <si>
    <t>{ file:'2.16.840.1.113883.10.20.22.4.23.html', href:'https://hl7.org/cda/us/ccda/Binary-medication-dispense-example.html', text:'medication-dispense-example' },</t>
  </si>
  <si>
    <t>{ file:'2.16.840.1.113883.10.20.22.4.147.html', href:'https://hl7.org/cda/us/ccda/Binary-medication-free-text-sig-example.html', text:'medication-free-text-sig-example' },</t>
  </si>
  <si>
    <t>{ file:'2.16.840.1.113883.10.20.22.4.23.html', href:'https://hl7.org/cda/us/ccda/Binary-medication-information-example.html', text:'medication-information-example' },</t>
  </si>
  <si>
    <t>{ file:'2.16.840.1.113883.10.20.22.4.17.html', href:'https://hl7.org/cda/us/ccda/Binary-medication-supply-order-example.html', text:'medication-supply-order-example' },</t>
  </si>
  <si>
    <t>{ file:'2.16.840.1.113883.10.20.22.4.23.html', href:'https://hl7.org/cda/us/ccda/Binary-medication-supply-order-example.html', text:'medication-supply-order-example' },</t>
  </si>
  <si>
    <t>{ file:'2.16.840.1.113883.10.20.22.4.515.html', href:'https://hl7.org/cda/us/ccda/Binary-medication-supply-order-example.html', text:'medication-supply-order-example' },</t>
  </si>
  <si>
    <t>{ file:'2.16.840.1.113883.10.20.22.2.38.html', href:'https://hl7.org/cda/us/ccda/Binary-medications-administered-section-example.html', text:'medications-administered-section-example' },</t>
  </si>
  <si>
    <t>{ file:'2.16.840.1.113883.10.20.22.4.16.html', href:'https://hl7.org/cda/us/ccda/Binary-medications-administered-section-example.html', text:'medications-administered-section-example' },</t>
  </si>
  <si>
    <t>{ file:'2.16.840.1.113883.10.20.22.2.1.1.html', href:'https://hl7.org/cda/us/ccda/Binary-medications-section-example.html', text:'medications-section-example' },</t>
  </si>
  <si>
    <t>{ file:'2.16.840.1.113883.10.20.22.4.16.html', href:'https://hl7.org/cda/us/ccda/Binary-medications-section-example.html', text:'medications-section-example' },</t>
  </si>
  <si>
    <t>{ file:'2.16.840.1.113883.10.20.22.4.23.html', href:'https://hl7.org/cda/us/ccda/Binary-medications-section-example.html', text:'medications-section-example' },</t>
  </si>
  <si>
    <t>{ file:'2.16.840.1.113883.10.20.22.4.119.html', href:'https://hl7.org/cda/us/ccda/Binary-medications-section-example.html', text:'medications-section-example' },</t>
  </si>
  <si>
    <t>{ file:'2.16.840.1.113883.10.20.22.4.19.html', href:'https://hl7.org/cda/us/ccda/Binary-medications-section-example.html', text:'medications-section-example' },</t>
  </si>
  <si>
    <t>{ file:'2.16.840.1.113883.10.20.22.4.74.html', href:'https://hl7.org/cda/us/ccda/Binary-mental-status-observation-example.html', text:'mental-status-observation-example' },</t>
  </si>
  <si>
    <t>{ file:'2.16.840.1.113883.10.20.22.4.75.html', href:'https://hl7.org/cda/us/ccda/Binary-mental-status-organizer-example.html', text:'mental-status-organizer-example' },</t>
  </si>
  <si>
    <t>{ file:'2.16.840.1.113883.10.20.22.4.74.html', href:'https://hl7.org/cda/us/ccda/Binary-mental-status-organizer-example.html', text:'mental-status-organizer-example' },</t>
  </si>
  <si>
    <t>{ file:'2.16.840.1.113883.10.20.22.2.56.html', href:'https://hl7.org/cda/us/ccda/Binary-mental-status-section-example.html', text:'mental-status-section-example' },</t>
  </si>
  <si>
    <t>{ file:'2.16.840.1.113883.10.20.22.4.75.html', href:'https://hl7.org/cda/us/ccda/Binary-mental-status-section-example.html', text:'mental-status-section-example' },</t>
  </si>
  <si>
    <t>{ file:'2.16.840.1.113883.10.20.22.4.74.html', href:'https://hl7.org/cda/us/ccda/Binary-mental-status-section-example.html', text:'mental-status-section-example' },</t>
  </si>
  <si>
    <t>{ file:'2.16.840.1.113883.10.20.22.4.317.html', href:'https://hl7.org/cda/us/ccda/Binary-model-number-observation-example.html', text:'model-number-observation-example' },</t>
  </si>
  <si>
    <t>{ file:'2.16.840.1.113883.10.20.22.4.318.html', href:'https://hl7.org/cda/us/ccda/Binary-mri-safety-observation-example.html', text:'mri-safety-observation-example' },</t>
  </si>
  <si>
    <t>{ file:'2.16.840.1.113883.10.20.22.4.119.html', href:'https://hl7.org/cda/us/ccda/Binary-new-author-participant-example.html', text:'new-author-participant-example' },</t>
  </si>
  <si>
    <t>{ file:'2.16.840.1.113883.10.20.22.4.16.html', href:'https://hl7.org/cda/us/ccda/Binary-no-known-medications-example.html', text:'no-known-medications-example' },</t>
  </si>
  <si>
    <t>{ file:'2.16.840.1.113883.10.20.22.4.23.html', href:'https://hl7.org/cda/us/ccda/Binary-no-known-medications-example.html', text:'no-known-medications-example' },</t>
  </si>
  <si>
    <t>{ file:'2.16.840.1.113883.10.20.22.2.5.1.html', href:'https://hl7.org/cda/us/ccda/Binary-no-known-problems-section-example.html', text:'no-known-problems-section-example' },</t>
  </si>
  <si>
    <t>{ file:'2.16.840.1.113883.10.20.22.4.3.html', href:'https://hl7.org/cda/us/ccda/Binary-no-known-problems-section-example.html', text:'no-known-problems-section-example' },</t>
  </si>
  <si>
    <t>{ file:'2.16.840.1.113883.10.20.22.4.119.html', href:'https://hl7.org/cda/us/ccda/Binary-no-known-problems-section-example.html', text:'no-known-problems-section-example' },</t>
  </si>
  <si>
    <t>{ file:'2.16.840.1.113883.10.20.22.4.4.html', href:'https://hl7.org/cda/us/ccda/Binary-no-known-problems-section-example.html', text:'no-known-problems-section-example' },</t>
  </si>
  <si>
    <t>{ file:'2.16.840.1.113883.10.20.22.4.50.html', href:'https://hl7.org/cda/us/ccda/Binary-non-medicinal-supply-activity-example.html', text:'non-medicinal-supply-activity-example' },</t>
  </si>
  <si>
    <t>{ file:'2.16.840.1.113883.10.20.22.4.37.html', href:'https://hl7.org/cda/us/ccda/Binary-non-medicinal-supply-activity-example.html', text:'non-medicinal-supply-activity-example' },</t>
  </si>
  <si>
    <t>{ file:'2.16.840.1.113883.10.20.22.2.7.1.html', href:'https://hl7.org/cda/us/ccda/Binary-note-activity-as-entryrelationship-to-ccda-entry-example.html', text:'note-activity-as-entryrelationship-to-ccda-entry-example' },</t>
  </si>
  <si>
    <t>{ file:'2.16.840.1.113883.10.20.22.4.14.html', href:'https://hl7.org/cda/us/ccda/Binary-note-activity-as-entryrelationship-to-ccda-entry-example.html', text:'note-activity-as-entryrelationship-to-ccda-entry-example' },</t>
  </si>
  <si>
    <t>{ file:'2.16.840.1.113883.10.20.22.4.202.html', href:'https://hl7.org/cda/us/ccda/Binary-note-activity-as-entryrelationship-to-ccda-entry-example.html', text:'note-activity-as-entryrelationship-to-ccda-entry-example' },</t>
  </si>
  <si>
    <t>{ file:'2.16.840.1.113883.10.20.22.4.119.html', href:'https://hl7.org/cda/us/ccda/Binary-note-activity-as-entryrelationship-to-ccda-entry-example.html', text:'note-activity-as-entryrelationship-to-ccda-entry-example' },</t>
  </si>
  <si>
    <t>{ file:'2.16.840.1.113883.10.20.22.2.7.1.html', href:'https://hl7.org/cda/us/ccda/Binary-note-activity-as-standalone-entry-example.html', text:'note-activity-as-standalone-entry-example' },</t>
  </si>
  <si>
    <t>{ file:'2.16.840.1.113883.10.20.22.4.14.html', href:'https://hl7.org/cda/us/ccda/Binary-note-activity-as-standalone-entry-example.html', text:'note-activity-as-standalone-entry-example' },</t>
  </si>
  <si>
    <t>{ file:'2.16.840.1.113883.10.20.22.4.202.html', href:'https://hl7.org/cda/us/ccda/Binary-note-activity-as-standalone-entry-example.html', text:'note-activity-as-standalone-entry-example' },</t>
  </si>
  <si>
    <t>{ file:'2.16.840.1.113883.10.20.22.4.119.html', href:'https://hl7.org/cda/us/ccda/Binary-note-activity-as-standalone-entry-example.html', text:'note-activity-as-standalone-entry-example' },</t>
  </si>
  <si>
    <t>{ file:'2.16.840.1.113883.10.20.22.2.65.html', href:'https://hl7.org/cda/us/ccda/Binary-note-section-example.html', text:'note-section-example' },</t>
  </si>
  <si>
    <t>{ file:'2.16.840.1.113883.10.20.22.4.202.html', href:'https://hl7.org/cda/us/ccda/Binary-note-section-example.html', text:'note-section-example' },</t>
  </si>
  <si>
    <t>{ file:'2.16.840.1.113883.10.20.22.4.76.html', href:'https://hl7.org/cda/us/ccda/Binary-number-of-pressure-ulcers-observation-example.html', text:'number-of-pressure-ulcers-observation-example' },</t>
  </si>
  <si>
    <t>{ file:'2.16.840.1.113883.10.20.22.4.138.html', href:'https://hl7.org/cda/us/ccda/Binary-nutrition-assessment-example.html', text:'nutrition-assessment-example' },</t>
  </si>
  <si>
    <t>{ file:'2.16.840.1.113883.10.20.22.4.130.html', href:'https://hl7.org/cda/us/ccda/Binary-nutrition-recommendation-example.html', text:'nutrition-recommendation-example' },</t>
  </si>
  <si>
    <t>{ file:'2.16.840.1.113883.10.20.22.2.57.html', href:'https://hl7.org/cda/us/ccda/Binary-nutrition-section-example.html', text:'nutrition-section-example' },</t>
  </si>
  <si>
    <t>{ file:'2.16.840.1.113883.10.20.22.4.124.html', href:'https://hl7.org/cda/us/ccda/Binary-nutrition-section-example.html', text:'nutrition-section-example' },</t>
  </si>
  <si>
    <t>{ file:'2.16.840.1.113883.10.20.22.4.138.html', href:'https://hl7.org/cda/us/ccda/Binary-nutrition-section-example.html', text:'nutrition-section-example' },</t>
  </si>
  <si>
    <t>{ file:'2.16.840.1.113883.10.20.22.4.124.html', href:'https://hl7.org/cda/us/ccda/Binary-nutritional-status-observation-example.html', text:'nutritional-status-observation-example' },</t>
  </si>
  <si>
    <t>{ file:'2.16.840.1.113883.10.20.22.4.138.html', href:'https://hl7.org/cda/us/ccda/Binary-nutritional-status-observation-example.html', text:'nutritional-status-observation-example' },</t>
  </si>
  <si>
    <t>{ file:'2.16.840.1.113883.10.20.21.2.1.html', href:'https://hl7.org/cda/us/ccda/Binary-objective-section-example.html', text:'objective-section-example' },</t>
  </si>
  <si>
    <t>{ file:'2.16.840.1.113883.10.20.7.12.html', href:'https://hl7.org/cda/us/ccda/Binary-operative-note-fluids-section-example.html', text:'operative-note-fluids-section-example' },</t>
  </si>
  <si>
    <t>{ file:'2.16.840.1.113883.10.20.22.1.1.html', href:'https://hl7.org/cda/us/ccda/Binary-operative-note-header-example.html', text:'operative-note-header-example' },</t>
  </si>
  <si>
    <t>{ file:'2.16.840.1.113883.10.20.22.1.7.html', href:'https://hl7.org/cda/us/ccda/Binary-operative-note-header-example.html', text:'operative-note-header-example' },</t>
  </si>
  <si>
    <t>{ file:'2.16.840.1.113883.10.20.22.2.25.html', href:'https://hl7.org/cda/us/ccda/Binary-operative-note-header-example.html', text:'operative-note-header-example' },</t>
  </si>
  <si>
    <t>{ file:'2.16.840.1.113883.10.20.22.2.37.html', href:'https://hl7.org/cda/us/ccda/Binary-operative-note-header-example.html', text:'operative-note-header-example' },</t>
  </si>
  <si>
    <t>{ file:'2.16.840.1.113883.10.20.22.2.34.html', href:'https://hl7.org/cda/us/ccda/Binary-operative-note-header-example.html', text:'operative-note-header-example' },</t>
  </si>
  <si>
    <t>{ file:'2.16.840.1.113883.10.20.18.2.9.html', href:'https://hl7.org/cda/us/ccda/Binary-operative-note-header-example.html', text:'operative-note-header-example' },</t>
  </si>
  <si>
    <t>{ file:'2.16.840.1.113883.10.20.22.2.28.html', href:'https://hl7.org/cda/us/ccda/Binary-operative-note-header-example.html', text:'operative-note-header-example' },</t>
  </si>
  <si>
    <t>{ file:'2.16.840.1.113883.10.20.22.2.31.html', href:'https://hl7.org/cda/us/ccda/Binary-operative-note-header-example.html', text:'operative-note-header-example' },</t>
  </si>
  <si>
    <t>{ file:'2.16.840.1.113883.10.20.22.2.27.html', href:'https://hl7.org/cda/us/ccda/Binary-operative-note-header-example.html', text:'operative-note-header-example' },</t>
  </si>
  <si>
    <t>{ file:'2.16.840.1.113883.10.20.22.2.35.html', href:'https://hl7.org/cda/us/ccda/Binary-operative-note-header-example.html', text:'operative-note-header-example' },</t>
  </si>
  <si>
    <t>{ file:'2.16.840.1.113883.10.20.7.14.html', href:'https://hl7.org/cda/us/ccda/Binary-operative-note-surgical-procedure-section-example.html', text:'operative-note-surgical-procedure-section-example' },</t>
  </si>
  <si>
    <t>{ file:'2.16.840.1.113883.10.20.22.4.144.html', href:'https://hl7.org/cda/us/ccda/Binary-outcome-observation-example.html', text:'outcome-observation-example' },</t>
  </si>
  <si>
    <t>{ file:'2.16.840.1.113883.10.20.22.4.122.html', href:'https://hl7.org/cda/us/ccda/Binary-outcome-observation-example.html', text:'outcome-observation-example' },</t>
  </si>
  <si>
    <t>{ file:'2.16.840.1.113883.10.20.22.4.121.html', href:'https://hl7.org/cda/us/ccda/Binary-outcome-observation-example.html', text:'outcome-observation-example' },</t>
  </si>
  <si>
    <t>{ file:'2.16.840.1.113883.10.20.22.2.61.html', href:'https://hl7.org/cda/us/ccda/Binary-outcomes-section-example.html', text:'outcomes-section-example' },</t>
  </si>
  <si>
    <t>{ file:'2.16.840.1.113883.10.20.22.4.144.html', href:'https://hl7.org/cda/us/ccda/Binary-outcomes-section-example.html', text:'outcomes-section-example' },</t>
  </si>
  <si>
    <t>{ file:'2.16.840.1.113883.10.20.22.4.122.html', href:'https://hl7.org/cda/us/ccda/Binary-outcomes-section-example.html', text:'outcomes-section-example' },</t>
  </si>
  <si>
    <t>{ file:'2.16.840.1.113883.10.20.22.4.121.html', href:'https://hl7.org/cda/us/ccda/Binary-outcomes-section-example.html', text:'outcomes-section-example' },</t>
  </si>
  <si>
    <t>{ file:'2.16.840.1.113883.10.20.22.2.20.html', href:'https://hl7.org/cda/us/ccda/Binary-past-medical-history-example.html', text:'past-medical-history-example' },</t>
  </si>
  <si>
    <t>{ file:'2.16.840.1.113883.10.20.22.1.1.html', href:'https://hl7.org/cda/us/ccda/Binary-patient-generated-document-informationrecipient.html', text:'patient-generated-document-informationrecipient' },</t>
  </si>
  <si>
    <t>{ file:'2.16.840.1.113883.10.20.29.1.html', href:'https://hl7.org/cda/us/ccda/Binary-patient-generated-document-informationrecipient.html', text:'patient-generated-document-informationrecipient' },</t>
  </si>
  <si>
    <t>{ file:'2.16.840.1.113883.10.20.22.2.18.html', href:'https://hl7.org/cda/us/ccda/Binary-payers-section-example.html', text:'payers-section-example' },</t>
  </si>
  <si>
    <t>{ file:'2.16.840.1.113883.10.20.22.4.60.html', href:'https://hl7.org/cda/us/ccda/Binary-payers-section-example.html', text:'payers-section-example' },</t>
  </si>
  <si>
    <t>{ file:'2.16.840.1.113883.10.20.22.4.61.html', href:'https://hl7.org/cda/us/ccda/Binary-payers-section-example.html', text:'payers-section-example' },</t>
  </si>
  <si>
    <t>{ file:'2.16.840.1.113883.10.20.22.4.87.html', href:'https://hl7.org/cda/us/ccda/Binary-payers-section-example.html', text:'payers-section-example' },</t>
  </si>
  <si>
    <t>{ file:'2.16.840.1.113883.10.20.22.4.89.html', href:'https://hl7.org/cda/us/ccda/Binary-payers-section-example.html', text:'payers-section-example' },</t>
  </si>
  <si>
    <t>{ file:'2.16.840.1.113883.10.20.2.10.html', href:'https://hl7.org/cda/us/ccda/Binary-physical-exam-section-example.html', text:'physical-exam-section-example' },</t>
  </si>
  <si>
    <t>{ file:'2.16.840.1.113883.10.20.22.2.10.html', href:'https://hl7.org/cda/us/ccda/Binary-plan-of-treatment-section-example.html', text:'plan-of-treatment-section-example' },</t>
  </si>
  <si>
    <t>{ file:'2.16.840.1.113883.10.20.22.4.141.html', href:'https://hl7.org/cda/us/ccda/Binary-plan-of-treatment-section-example.html', text:'plan-of-treatment-section-example' },</t>
  </si>
  <si>
    <t>{ file:'2.16.840.1.113883.10.20.22.4.40.html', href:'https://hl7.org/cda/us/ccda/Binary-plan-of-treatment-section-example.html', text:'plan-of-treatment-section-example' },</t>
  </si>
  <si>
    <t>{ file:'2.16.840.1.113883.10.20.22.4.129.html', href:'https://hl7.org/cda/us/ccda/Binary-planned-coverage-example.html', text:'planned-coverage-example' },</t>
  </si>
  <si>
    <t>{ file:'2.16.840.1.113883.10.20.22.4.40.html', href:'https://hl7.org/cda/us/ccda/Binary-planned-encounter-example.html', text:'planned-encounter-example' },</t>
  </si>
  <si>
    <t>{ file:'2.16.840.1.113883.10.20.22.4.120.html', href:'https://hl7.org/cda/us/ccda/Binary-planned-immunization-activity.html', text:'planned-immunization-activity' },</t>
  </si>
  <si>
    <t>{ file:'2.16.840.1.113883.10.20.22.4.54.html', href:'https://hl7.org/cda/us/ccda/Binary-planned-immunization-activity.html', text:'planned-immunization-activity' },</t>
  </si>
  <si>
    <t>{ file:'2.16.840.1.113883.10.20.22.4.146.html', href:'https://hl7.org/cda/us/ccda/Binary-planned-intervention-act-example.html', text:'planned-intervention-act-example' },</t>
  </si>
  <si>
    <t>{ file:'2.16.840.1.113883.10.20.22.4.122.html', href:'https://hl7.org/cda/us/ccda/Binary-planned-intervention-act-example.html', text:'planned-intervention-act-example' },</t>
  </si>
  <si>
    <t>{ file:'2.16.840.1.113883.10.20.22.4.121.html', href:'https://hl7.org/cda/us/ccda/Binary-planned-intervention-act-example.html', text:'planned-intervention-act-example' },</t>
  </si>
  <si>
    <t>{ file:'2.16.840.1.113883.10.20.22.4.42.html', href:'https://hl7.org/cda/us/ccda/Binary-planned-medication-activity-example.html', text:'planned-medication-activity-example' },</t>
  </si>
  <si>
    <t>{ file:'2.16.840.1.113883.10.20.22.4.23.html', href:'https://hl7.org/cda/us/ccda/Binary-planned-medication-activity-example.html', text:'planned-medication-activity-example' },</t>
  </si>
  <si>
    <t>{ file:'2.16.840.1.113883.10.20.22.4.119.html', href:'https://hl7.org/cda/us/ccda/Binary-planned-medication-activity-example.html', text:'planned-medication-activity-example' },</t>
  </si>
  <si>
    <t>{ file:'2.16.840.1.113883.10.20.22.4.41.html', href:'https://hl7.org/cda/us/ccda/Binary-planned-procedure-example.html', text:'planned-procedure-example' },</t>
  </si>
  <si>
    <t>{ file:'2.16.840.1.113883.10.20.22.2.30.html', href:'https://hl7.org/cda/us/ccda/Binary-planned-procedure-section-example.html', text:'planned-procedure-section-example' },</t>
  </si>
  <si>
    <t>{ file:'2.16.840.1.113883.10.20.22.4.41.html', href:'https://hl7.org/cda/us/ccda/Binary-planned-procedure-section-example.html', text:'planned-procedure-section-example' },</t>
  </si>
  <si>
    <t>{ file:'2.16.840.1.113883.10.20.22.4.43.html', href:'https://hl7.org/cda/us/ccda/Binary-planned-supply-example.html', text:'planned-supply-example' },</t>
  </si>
  <si>
    <t>{ file:'2.16.840.1.113883.10.20.22.4.23.html', href:'https://hl7.org/cda/us/ccda/Binary-planned-supply-example.html', text:'planned-supply-example' },</t>
  </si>
  <si>
    <t>{ file:'2.16.840.1.113883.10.20.22.4.61.html', href:'https://hl7.org/cda/us/ccda/Binary-policy-activity-example.html', text:'policy-activity-example' },</t>
  </si>
  <si>
    <t>{ file:'2.16.840.1.113883.10.20.22.4.87.html', href:'https://hl7.org/cda/us/ccda/Binary-policy-activity-example.html', text:'policy-activity-example' },</t>
  </si>
  <si>
    <t>{ file:'2.16.840.1.113883.10.20.22.4.88.html', href:'https://hl7.org/cda/us/ccda/Binary-policy-activity-example.html', text:'policy-activity-example' },</t>
  </si>
  <si>
    <t>{ file:'2.16.840.1.113883.10.20.22.4.89.html', href:'https://hl7.org/cda/us/ccda/Binary-policy-activity-example.html', text:'policy-activity-example' },</t>
  </si>
  <si>
    <t>{ file:'2.16.840.1.113883.10.20.22.4.90.html', href:'https://hl7.org/cda/us/ccda/Binary-policy-activity-example.html', text:'policy-activity-example' },</t>
  </si>
  <si>
    <t>{ file:'2.16.840.1.113883.10.20.1.19.html', href:'https://hl7.org/cda/us/ccda/Binary-policy-activity-example.html', text:'policy-activity-example' },</t>
  </si>
  <si>
    <t>{ file:'2.16.840.1.113883.10.20.22.2.35.html', href:'https://hl7.org/cda/us/ccda/Binary-postoperative-diagnosis-section-example.html', text:'postoperative-diagnosis-section-example' },</t>
  </si>
  <si>
    <t>{ file:'2.16.840.1.113883.10.20.22.4.51.html', href:'https://hl7.org/cda/us/ccda/Binary-postprocedure-diagnosis-example.html', text:'postprocedure-diagnosis-example' },</t>
  </si>
  <si>
    <t>{ file:'2.16.840.1.113883.10.20.22.4.4.html', href:'https://hl7.org/cda/us/ccda/Binary-postprocedure-diagnosis-example.html', text:'postprocedure-diagnosis-example' },</t>
  </si>
  <si>
    <t>{ file:'2.16.840.1.113883.10.20.22.4.119.html', href:'https://hl7.org/cda/us/ccda/Binary-postprocedure-diagnosis-example.html', text:'postprocedure-diagnosis-example' },</t>
  </si>
  <si>
    <t>{ file:'2.16.840.1.113883.10.20.22.2.36.html', href:'https://hl7.org/cda/us/ccda/Binary-postprocedure-diagnosis-section-example.html', text:'postprocedure-diagnosis-section-example' },</t>
  </si>
  <si>
    <t>{ file:'2.16.840.1.113883.10.20.22.4.51.html', href:'https://hl7.org/cda/us/ccda/Binary-postprocedure-diagnosis-section-example.html', text:'postprocedure-diagnosis-section-example' },</t>
  </si>
  <si>
    <t>{ file:'2.16.840.1.113883.10.20.22.4.4.html', href:'https://hl7.org/cda/us/ccda/Binary-postprocedure-diagnosis-section-example.html', text:'postprocedure-diagnosis-section-example' },</t>
  </si>
  <si>
    <t>{ file:'2.16.840.1.113883.10.20.22.4.119.html', href:'https://hl7.org/cda/us/ccda/Binary-postprocedure-diagnosis-section-example.html', text:'postprocedure-diagnosis-section-example' },</t>
  </si>
  <si>
    <t>{ file:'2.16.840.1.113883.10.20.22.4.25.html', href:'https://hl7.org/cda/us/ccda/Binary-precondition-for-substance-administration-example.html', text:'precondition-for-substance-administration-example' },</t>
  </si>
  <si>
    <t>{ file:'2.16.840.1.113883.10.20.22.4.281.html', href:'https://hl7.org/cda/us/ccda/Binary-pregnancy-intention-in-next-year-example.html', text:'pregnancy-intention-in-next-year-example' },</t>
  </si>
  <si>
    <t>{ file:'2.16.840.1.113883.10.20.15.3.8.html', href:'https://hl7.org/cda/us/ccda/Binary-pregnancy-status-observation-example.html', text:'pregnancy-status-observation-example' },</t>
  </si>
  <si>
    <t>{ file:'2.16.840.1.113883.10.20.15.3.1.html', href:'https://hl7.org/cda/us/ccda/Binary-pregnancy-status-observation-example.html', text:'pregnancy-status-observation-example' },</t>
  </si>
  <si>
    <t>{ file:'2.16.840.1.113883.10.20.22.4.65.html', href:'https://hl7.org/cda/us/ccda/Binary-preoperative-diagnosis-example.html', text:'preoperative-diagnosis-example' },</t>
  </si>
  <si>
    <t>{ file:'2.16.840.1.113883.10.20.22.4.4.html', href:'https://hl7.org/cda/us/ccda/Binary-preoperative-diagnosis-example.html', text:'preoperative-diagnosis-example' },</t>
  </si>
  <si>
    <t>{ file:'2.16.840.1.113883.10.20.22.4.119.html', href:'https://hl7.org/cda/us/ccda/Binary-preoperative-diagnosis-example.html', text:'preoperative-diagnosis-example' },</t>
  </si>
  <si>
    <t>{ file:'2.16.840.1.113883.10.20.22.2.34.html', href:'https://hl7.org/cda/us/ccda/Binary-preoperative-diagnosis-section-example.html', text:'preoperative-diagnosis-section-example' },</t>
  </si>
  <si>
    <t>{ file:'2.16.840.1.113883.10.20.22.4.65.html', href:'https://hl7.org/cda/us/ccda/Binary-preoperative-diagnosis-section-example.html', text:'preoperative-diagnosis-section-example' },</t>
  </si>
  <si>
    <t>{ file:'2.16.840.1.113883.10.20.22.4.4.html', href:'https://hl7.org/cda/us/ccda/Binary-preoperative-diagnosis-section-example.html', text:'preoperative-diagnosis-section-example' },</t>
  </si>
  <si>
    <t>{ file:'2.16.840.1.113883.10.20.22.4.119.html', href:'https://hl7.org/cda/us/ccda/Binary-preoperative-diagnosis-section-example.html', text:'preoperative-diagnosis-section-example' },</t>
  </si>
  <si>
    <t>{ file:'2.16.840.1.113883.10.20.22.4.143.html', href:'https://hl7.org/cda/us/ccda/Binary-priority-preference-example.html', text:'priority-preference-example' },</t>
  </si>
  <si>
    <t>{ file:'2.16.840.1.113883.10.20.22.4.119.html', href:'https://hl7.org/cda/us/ccda/Binary-priority-preference-example.html', text:'priority-preference-example' },</t>
  </si>
  <si>
    <t>{ file:'2.16.840.1.113883.10.20.22.4.3.html', href:'https://hl7.org/cda/us/ccda/Binary-problem-concern-act-example.html', text:'problem-concern-act-example' },</t>
  </si>
  <si>
    <t>{ file:'2.16.840.1.113883.10.20.22.4.119.html', href:'https://hl7.org/cda/us/ccda/Binary-problem-concern-act-example.html', text:'problem-concern-act-example' },</t>
  </si>
  <si>
    <t>{ file:'2.16.840.1.113883.10.20.22.4.4.html', href:'https://hl7.org/cda/us/ccda/Binary-problem-concern-act-example.html', text:'problem-concern-act-example' },</t>
  </si>
  <si>
    <t>{ file:'2.16.840.1.113883.10.20.22.4.4.html', href:'https://hl7.org/cda/us/ccda/Binary-problem-observation-example.html', text:'problem-observation-example' },</t>
  </si>
  <si>
    <t>{ file:'2.16.840.1.113883.10.20.22.4.119.html', href:'https://hl7.org/cda/us/ccda/Binary-problem-observation-example.html', text:'problem-observation-example' },</t>
  </si>
  <si>
    <t>{ file:'2.16.840.1.113883.10.20.22.4.4.html', href:'https://hl7.org/cda/us/ccda/Binary-problem-observation-postcoordsnomed-example.html', text:'problem-observation-postcoordsnomed-example' },</t>
  </si>
  <si>
    <t>{ file:'2.16.840.1.113883.10.20.22.4.119.html', href:'https://hl7.org/cda/us/ccda/Binary-problem-observation-postcoordsnomed-example.html', text:'problem-observation-postcoordsnomed-example' },</t>
  </si>
  <si>
    <t>{ file:'2.16.840.1.113883.10.20.22.2.5.1.html', href:'https://hl7.org/cda/us/ccda/Binary-problem-section-example.html', text:'problem-section-example' },</t>
  </si>
  <si>
    <t>{ file:'2.16.840.1.113883.10.20.22.4.3.html', href:'https://hl7.org/cda/us/ccda/Binary-problem-section-example.html', text:'problem-section-example' },</t>
  </si>
  <si>
    <t>{ file:'2.16.840.1.113883.10.20.22.4.119.html', href:'https://hl7.org/cda/us/ccda/Binary-problem-section-example.html', text:'problem-section-example' },</t>
  </si>
  <si>
    <t>{ file:'2.16.840.1.113883.10.20.22.4.4.html', href:'https://hl7.org/cda/us/ccda/Binary-problem-section-example.html', text:'problem-section-example' },</t>
  </si>
  <si>
    <t>{ file:'2.16.840.1.113883.10.20.22.4.14.html', href:'https://hl7.org/cda/us/ccda/Binary-procedure-activity-procedure-example.html', text:'procedure-activity-procedure-example' },</t>
  </si>
  <si>
    <t>{ file:'2.16.840.1.113883.10.20.22.2.27.html', href:'https://hl7.org/cda/us/ccda/Binary-procedure-description-section-example.html', text:'procedure-description-section-example' },</t>
  </si>
  <si>
    <t>{ file:'2.16.840.1.113883.10.20.18.2.12.html', href:'https://hl7.org/cda/us/ccda/Binary-procedure-disposition-section-example.html', text:'procedure-disposition-section-example' },</t>
  </si>
  <si>
    <t>{ file:'2.16.840.1.113883.10.20.18.2.9.html', href:'https://hl7.org/cda/us/ccda/Binary-procedure-estimated-blood-loss-section-example.html', text:'procedure-estimated-blood-loss-section-example' },</t>
  </si>
  <si>
    <t>{ file:'2.16.840.1.113883.10.20.22.2.28.html', href:'https://hl7.org/cda/us/ccda/Binary-procedure-findings-section-example.html', text:'procedure-findings-section-example' },</t>
  </si>
  <si>
    <t>{ file:'2.16.840.1.113883.10.20.22.4.4.html', href:'https://hl7.org/cda/us/ccda/Binary-procedure-findings-section-example.html', text:'procedure-findings-section-example' },</t>
  </si>
  <si>
    <t>{ file:'2.16.840.1.113883.10.20.22.2.40.html', href:'https://hl7.org/cda/us/ccda/Binary-procedure-implants-section-example.html', text:'procedure-implants-section-example' },</t>
  </si>
  <si>
    <t>{ file:'2.16.840.1.113883.10.20.22.2.29.html', href:'https://hl7.org/cda/us/ccda/Binary-procedure-indications-section-example.html', text:'procedure-indications-section-example' },</t>
  </si>
  <si>
    <t>{ file:'2.16.840.1.113883.10.20.22.4.19.html', href:'https://hl7.org/cda/us/ccda/Binary-procedure-indications-section-example.html', text:'procedure-indications-section-example' },</t>
  </si>
  <si>
    <t>{ file:'2.16.840.1.113883.10.20.22.1.1.html', href:'https://hl7.org/cda/us/ccda/Binary-procedure-note-header-example.html', text:'procedure-note-header-example' },</t>
  </si>
  <si>
    <t>{ file:'2.16.840.1.113883.10.20.22.1.6.html', href:'https://hl7.org/cda/us/ccda/Binary-procedure-note-header-example.html', text:'procedure-note-header-example' },</t>
  </si>
  <si>
    <t>{ file:'2.16.840.1.113883.10.20.22.2.37.html', href:'https://hl7.org/cda/us/ccda/Binary-procedure-note-header-example.html', text:'procedure-note-header-example' },</t>
  </si>
  <si>
    <t>{ file:'2.16.840.1.113883.10.20.22.2.27.html', href:'https://hl7.org/cda/us/ccda/Binary-procedure-note-header-example.html', text:'procedure-note-header-example' },</t>
  </si>
  <si>
    <t>{ file:'2.16.840.1.113883.10.20.22.2.29.html', href:'https://hl7.org/cda/us/ccda/Binary-procedure-note-header-example.html', text:'procedure-note-header-example' },</t>
  </si>
  <si>
    <t>{ file:'2.16.840.1.113883.10.20.22.2.36.html', href:'https://hl7.org/cda/us/ccda/Binary-procedure-note-header-example.html', text:'procedure-note-header-example' },</t>
  </si>
  <si>
    <t>{ file:'2.16.840.1.113883.10.20.22.2.9.html', href:'https://hl7.org/cda/us/ccda/Binary-procedure-note-header-example.html', text:'procedure-note-header-example' },</t>
  </si>
  <si>
    <t>{ file:'2.16.840.1.113883.10.20.22.2.31.html', href:'https://hl7.org/cda/us/ccda/Binary-procedure-specimens-taken-section-example.html', text:'procedure-specimens-taken-section-example' },</t>
  </si>
  <si>
    <t>{ file:'2.16.840.1.113883.10.20.22.2.7.1.html', href:'https://hl7.org/cda/us/ccda/Binary-procedures-section-example.html', text:'procedures-section-example' },</t>
  </si>
  <si>
    <t>{ file:'2.16.840.1.113883.10.20.22.4.14.html', href:'https://hl7.org/cda/us/ccda/Binary-procedures-section-example.html', text:'procedures-section-example' },</t>
  </si>
  <si>
    <t>{ file:'2.16.840.1.113883.10.20.22.4.37.html', href:'https://hl7.org/cda/us/ccda/Binary-product-instance-example.html', text:'product-instance-example' },</t>
  </si>
  <si>
    <t>{ file:'2.16.840.1.113883.10.20.22.4.113.html', href:'https://hl7.org/cda/us/ccda/Binary-prognosis-coded-example.html', text:'prognosis-coded-example' },</t>
  </si>
  <si>
    <t>{ file:'2.16.840.1.113883.10.20.22.4.113.html', href:'https://hl7.org/cda/us/ccda/Binary-prognosis-free-text-example.html', text:'prognosis-free-text-example' },</t>
  </si>
  <si>
    <t>{ file:'2.16.840.1.113883.10.20.22.1.1.html', href:'https://hl7.org/cda/us/ccda/Binary-progress-note-header-example.html', text:'progress-note-header-example' },</t>
  </si>
  <si>
    <t>{ file:'2.16.840.1.113883.10.20.22.1.9.html', href:'https://hl7.org/cda/us/ccda/Binary-progress-note-header-example.html', text:'progress-note-header-example' },</t>
  </si>
  <si>
    <t>{ file:'2.16.840.1.113883.10.20.21.3.1.html', href:'https://hl7.org/cda/us/ccda/Binary-progress-note-header-example.html', text:'progress-note-header-example' },</t>
  </si>
  <si>
    <t>{ file:'2.16.840.1.113883.10.20.22.2.9.html', href:'https://hl7.org/cda/us/ccda/Binary-progress-note-header-example.html', text:'progress-note-header-example' },</t>
  </si>
  <si>
    <t>{ file:'2.16.840.1.113883.10.20.22.2.65.html', href:'https://hl7.org/cda/us/ccda/Binary-progress-note-header-example.html', text:'progress-note-header-example' },</t>
  </si>
  <si>
    <t>{ file:'2.16.840.1.113883.10.20.22.4.202.html', href:'https://hl7.org/cda/us/ccda/Binary-progress-note-header-example.html', text:'progress-note-header-example' },</t>
  </si>
  <si>
    <t>{ file:'2.16.840.1.113883.10.20.22.4.119.html', href:'https://hl7.org/cda/us/ccda/Binary-progress-note-header-example.html', text:'progress-note-header-example' },</t>
  </si>
  <si>
    <t>{ file:'2.16.840.1.113883.10.20.21.3.1.html', href:'https://hl7.org/cda/us/ccda/Binary-progress-note-serviceevent-example.html', text:'progress-note-serviceevent-example' },</t>
  </si>
  <si>
    <t>{ file:'2.16.840.1.113883.10.20.22.4.110.html', href:'https://hl7.org/cda/us/ccda/Binary-progress-toward-goal-observation-example.html', text:'progress-toward-goal-observation-example' },</t>
  </si>
  <si>
    <t>{ file:'2.16.840.1.113883.10.20.22.5.7.html', href:'https://hl7.org/cda/us/ccda/Binary-provenance-assembler-participation-example.html', text:'provenance-assembler-participation-example' },</t>
  </si>
  <si>
    <t>{ file:'2.16.840.1.113883.10.20.22.5.6.html', href:'https://hl7.org/cda/us/ccda/Binary-provenance-author-participation-example.html', text:'provenance-author-participation-example' },</t>
  </si>
  <si>
    <t>{ file:'2.16.840.1.113883.10.20.22.4.9.html', href:'https://hl7.org/cda/us/ccda/Binary-reaction-observation-example.html', text:'reaction-observation-example' },</t>
  </si>
  <si>
    <t>{ file:'2.16.840.1.113883.10.20.22.4.8.html', href:'https://hl7.org/cda/us/ccda/Binary-reaction-observation-example.html', text:'reaction-observation-example' },</t>
  </si>
  <si>
    <t>{ file:'2.16.840.1.113883.10.20.24.3.88.html', href:'https://hl7.org/cda/us/ccda/Binary-reason-example.html', text:'reason-example' },</t>
  </si>
  <si>
    <t>{ file:'1.3.6.1.4.1.19376.1.5.3.1.3.1.html', href:'https://hl7.org/cda/us/ccda/Binary-reason-for-referral-section-example.html', text:'reason-for-referral-section-example' },</t>
  </si>
  <si>
    <t>{ file:'2.16.840.1.113883.10.20.22.4.140.html', href:'https://hl7.org/cda/us/ccda/Binary-reason-for-referral-section-example.html', text:'reason-for-referral-section-example' },</t>
  </si>
  <si>
    <t>{ file:'2.16.840.1.113883.10.20.22.2.12.html', href:'https://hl7.org/cda/us/ccda/Binary-reason-for-visit-section-example.html', text:'reason-for-visit-section-example' },</t>
  </si>
  <si>
    <t>{ file:'2.16.840.1.113883.10.20.22.4.140.html', href:'https://hl7.org/cda/us/ccda/Binary-referral-act-example.html', text:'referral-act-example' },</t>
  </si>
  <si>
    <t>{ file:'2.16.840.1.113883.10.20.22.4.119.html', href:'https://hl7.org/cda/us/ccda/Binary-referral-act-example.html', text:'referral-act-example' },</t>
  </si>
  <si>
    <t>{ file:'2.16.840.1.113883.10.20.22.1.1.html', href:'https://hl7.org/cda/us/ccda/Binary-referral-note-header-example.html', text:'referral-note-header-example' },</t>
  </si>
  <si>
    <t>{ file:'2.16.840.1.113883.10.20.22.1.14.html', href:'https://hl7.org/cda/us/ccda/Binary-referral-note-header-example.html', text:'referral-note-header-example' },</t>
  </si>
  <si>
    <t>{ file:'1.3.6.1.4.1.19376.1.5.3.1.3.1.html', href:'https://hl7.org/cda/us/ccda/Binary-referral-note-header-example.html', text:'referral-note-header-example' },</t>
  </si>
  <si>
    <t>{ file:'2.16.840.1.113883.10.20.22.2.6.1.html', href:'https://hl7.org/cda/us/ccda/Binary-referral-note-header-example.html', text:'referral-note-header-example' },</t>
  </si>
  <si>
    <t>{ file:'2.16.840.1.113883.10.20.22.2.5.1.html', href:'https://hl7.org/cda/us/ccda/Binary-referral-note-header-example.html', text:'referral-note-header-example' },</t>
  </si>
  <si>
    <t>{ file:'2.16.840.1.113883.10.20.22.2.1.1.html', href:'https://hl7.org/cda/us/ccda/Binary-referral-note-header-example.html', text:'referral-note-header-example' },</t>
  </si>
  <si>
    <t>{ file:'2.16.840.1.113883.10.20.22.2.10.html', href:'https://hl7.org/cda/us/ccda/Binary-referral-note-header-example.html', text:'referral-note-header-example' },</t>
  </si>
  <si>
    <t>{ file:'2.16.840.1.113883.10.20.22.2.8.html', href:'https://hl7.org/cda/us/ccda/Binary-referral-note-header-example.html', text:'referral-note-header-example' },</t>
  </si>
  <si>
    <t>{ file:'2.16.840.1.113883.10.20.22.2.3.1.html', href:'https://hl7.org/cda/us/ccda/Binary-referral-note-header-example.html', text:'referral-note-header-example' },</t>
  </si>
  <si>
    <t>{ file:'2.16.840.1.113883.10.20.22.2.14.html', href:'https://hl7.org/cda/us/ccda/Binary-referral-note-header-example.html', text:'referral-note-header-example' },</t>
  </si>
  <si>
    <t>{ file:'2.16.840.1.113883.10.20.22.2.56.html', href:'https://hl7.org/cda/us/ccda/Binary-referral-note-header-example.html', text:'referral-note-header-example' },</t>
  </si>
  <si>
    <t>{ file:'2.16.840.1.113883.10.20.22.2.57.html', href:'https://hl7.org/cda/us/ccda/Binary-referral-note-header-example.html', text:'referral-note-header-example' },</t>
  </si>
  <si>
    <t>{ file:'2.16.840.1.113883.10.20.22.5.8.html', href:'https://hl7.org/cda/us/ccda/Binary-related-person-relationship-and-name-example.html', text:'related-person-relationship-and-name-example' },</t>
  </si>
  <si>
    <t>{ file:'2.16.840.1.113883.10.20.22.4.2.html', href:'https://hl7.org/cda/us/ccda/Binary-result-observation-example.html', text:'result-observation-example' },</t>
  </si>
  <si>
    <t>{ file:'2.16.840.1.113883.10.20.22.4.119.html', href:'https://hl7.org/cda/us/ccda/Binary-result-observation-example.html', text:'result-observation-example' },</t>
  </si>
  <si>
    <t>{ file:'2.16.840.1.113883.10.20.22.4.1.html', href:'https://hl7.org/cda/us/ccda/Binary-result-organizer-example.html', text:'result-organizer-example' },</t>
  </si>
  <si>
    <t>{ file:'2.16.840.1.113883.10.20.22.4.119.html', href:'https://hl7.org/cda/us/ccda/Binary-result-organizer-example.html', text:'result-organizer-example' },</t>
  </si>
  <si>
    <t>{ file:'2.16.840.1.113883.10.20.22.4.2.html', href:'https://hl7.org/cda/us/ccda/Binary-result-organizer-example.html', text:'result-organizer-example' },</t>
  </si>
  <si>
    <t>{ file:'2.16.840.1.113883.10.20.22.4.415.html', href:'https://hl7.org/cda/us/ccda/Binary-result-organizer-example.html', text:'result-organizer-example' },</t>
  </si>
  <si>
    <t>{ file:'2.16.840.1.113883.10.20.22.4.421.html', href:'https://hl7.org/cda/us/ccda/Binary-result-organizer-example.html', text:'result-organizer-example' },</t>
  </si>
  <si>
    <t>{ file:'2.16.840.1.113883.10.20.22.2.3.1.html', href:'https://hl7.org/cda/us/ccda/Binary-results-section-example.html', text:'results-section-example' },</t>
  </si>
  <si>
    <t>{ file:'2.16.840.1.113883.10.20.22.4.1.html', href:'https://hl7.org/cda/us/ccda/Binary-results-section-example.html', text:'results-section-example' },</t>
  </si>
  <si>
    <t>{ file:'2.16.840.1.113883.10.20.22.4.119.html', href:'https://hl7.org/cda/us/ccda/Binary-results-section-example.html', text:'results-section-example' },</t>
  </si>
  <si>
    <t>{ file:'2.16.840.1.113883.10.20.22.4.2.html', href:'https://hl7.org/cda/us/ccda/Binary-results-section-example.html', text:'results-section-example' },</t>
  </si>
  <si>
    <t>{ file:'1.3.6.1.4.1.19376.1.5.3.1.3.18.html', href:'https://hl7.org/cda/us/ccda/Binary-review-of-systems-section-example.html', text:'review-of-systems-section-example' },</t>
  </si>
  <si>
    <t>{ file:'2.16.840.1.113883.10.20.22.4.136.html', href:'https://hl7.org/cda/us/ccda/Binary-risk-concern-act-example.html', text:'risk-concern-act-example' },</t>
  </si>
  <si>
    <t>{ file:'2.16.840.1.113883.10.20.22.4.4.html', href:'https://hl7.org/cda/us/ccda/Binary-risk-concern-act-example.html', text:'risk-concern-act-example' },</t>
  </si>
  <si>
    <t>{ file:'2.16.840.1.113883.10.20.22.4.122.html', href:'https://hl7.org/cda/us/ccda/Binary-risk-concern-act-example.html', text:'risk-concern-act-example' },</t>
  </si>
  <si>
    <t>{ file:'2.16.840.1.113883.10.20.22.4.68.99999.html', href:'https://hl7.org/cda/us/ccda/Binary-section-time-range-example.html', text:'section-time-range-example' },</t>
  </si>
  <si>
    <t>{ file:'2.16.840.1.113883.10.20.22.4.128.html', href:'https://hl7.org/cda/us/ccda/Binary-self-care-activities-adl-and-iadl-example.html', text:'self-care-activities-adl-and-iadl-example' },</t>
  </si>
  <si>
    <t>{ file:'2.16.840.1.113883.10.20.22.4.119.html', href:'https://hl7.org/cda/us/ccda/Binary-self-care-activities-adl-and-iadl-example.html', text:'self-care-activities-adl-and-iadl-example' },</t>
  </si>
  <si>
    <t>{ file:'2.16.840.1.113883.10.20.22.4.127.html', href:'https://hl7.org/cda/us/ccda/Binary-sensory-and-speech-status-example.html', text:'sensory-and-speech-status-example' },</t>
  </si>
  <si>
    <t>{ file:'2.16.840.1.113883.10.20.22.4.119.html', href:'https://hl7.org/cda/us/ccda/Binary-sensory-and-speech-status-example.html', text:'sensory-and-speech-status-example' },</t>
  </si>
  <si>
    <t>{ file:'2.16.840.1.113883.10.20.22.4.69.html', href:'https://hl7.org/cda/us/ccda/Binary-sensory-and-speech-status-example.html', text:'sensory-and-speech-status-example' },</t>
  </si>
  <si>
    <t>{ file:'2.16.840.1.113883.10.20.22.4.86.html', href:'https://hl7.org/cda/us/ccda/Binary-sensory-and-speech-status-example.html', text:'sensory-and-speech-status-example' },</t>
  </si>
  <si>
    <t>{ file:'2.16.840.1.113883.10.20.22.4.319.html', href:'https://hl7.org/cda/us/ccda/Binary-serial-number-observation-example.html', text:'serial-number-observation-example' },</t>
  </si>
  <si>
    <t>{ file:'2.16.840.1.113883.10.20.22.4.32.html', href:'https://hl7.org/cda/us/ccda/Binary-service-delivery-location-example.html', text:'service-delivery-location-example' },</t>
  </si>
  <si>
    <t>{ file:'2.16.840.1.113883.10.20.22.4.8.html', href:'https://hl7.org/cda/us/ccda/Binary-severity-observation-example.html', text:'severity-observation-example' },</t>
  </si>
  <si>
    <t>{ file:'2.16.840.1.113883.10.20.22.4.507.html', href:'https://hl7.org/cda/us/ccda/Binary-sex-observation-example.html', text:'sex-observation-example' },</t>
  </si>
  <si>
    <t>{ file:'2.16.840.1.113883.10.20.22.4.507.html', href:'https://hl7.org/cda/us/ccda/Binary-sex-observation-nullflavor-example.html', text:'sex-observation-nullflavor-example' },</t>
  </si>
  <si>
    <t>{ file:'2.16.840.1.113883.10.20.22.4.501.html', href:'https://hl7.org/cda/us/ccda/Binary-sexual-orientation-observation-example.html', text:'sexual-orientation-observation-example' },</t>
  </si>
  <si>
    <t>{ file:'2.16.840.1.113883.10.20.22.4.119.html', href:'https://hl7.org/cda/us/ccda/Binary-sexual-orientation-observation-example.html', text:'sexual-orientation-observation-example' },</t>
  </si>
  <si>
    <t>{ file:'2.16.840.1.113883.10.20.22.4.501.html', href:'https://hl7.org/cda/us/ccda/Binary-sexual-orientation-observation-nullflavor-example.html', text:'sexual-orientation-observation-nullflavor-example' },</t>
  </si>
  <si>
    <t>{ file:'2.16.840.1.113883.10.20.22.4.119.html', href:'https://hl7.org/cda/us/ccda/Binary-sexual-orientation-observation-nullflavor-example.html', text:'sexual-orientation-observation-nullflavor-example' },</t>
  </si>
  <si>
    <t>{ file:'2.16.840.1.113883.10.20.22.4.511.html', href:'https://hl7.org/cda/us/ccda/Binary-smoking-status-coded-example.html', text:'smoking-status-coded-example' },</t>
  </si>
  <si>
    <t>{ file:'2.16.840.1.113883.10.20.22.4.78.html', href:'https://hl7.org/cda/us/ccda/Binary-smoking-status-meaningful-use-example.html', text:'smoking-status-meaningful-use-example' },</t>
  </si>
  <si>
    <t>{ file:'2.16.840.1.113883.10.20.22.4.119.html', href:'https://hl7.org/cda/us/ccda/Binary-smoking-status-meaningful-use-example.html', text:'smoking-status-meaningful-use-example' },</t>
  </si>
  <si>
    <t>{ file:'2.16.840.1.113883.10.20.22.4.511.html', href:'https://hl7.org/cda/us/ccda/Binary-smoking-status-quantity-example.html', text:'smoking-status-quantity-example' },</t>
  </si>
  <si>
    <t>{ file:'2.16.840.1.113883.10.20.22.4.38.html', href:'https://hl7.org/cda/us/ccda/Binary-social-history-observation-example.html', text:'social-history-observation-example' },</t>
  </si>
  <si>
    <t>{ file:'2.16.840.1.113883.10.20.22.4.119.html', href:'https://hl7.org/cda/us/ccda/Binary-social-history-observation-example.html', text:'social-history-observation-example' },</t>
  </si>
  <si>
    <t>{ file:'2.16.840.1.113883.10.20.22.2.17.html', href:'https://hl7.org/cda/us/ccda/Binary-social-history-section-example.html', text:'social-history-section-example' },</t>
  </si>
  <si>
    <t>{ file:'2.16.840.1.113883.10.20.22.4.38.html', href:'https://hl7.org/cda/us/ccda/Binary-social-history-section-example.html', text:'social-history-section-example' },</t>
  </si>
  <si>
    <t>{ file:'2.16.840.1.113883.10.20.22.4.511.html', href:'https://hl7.org/cda/us/ccda/Binary-social-history-section-example.html', text:'social-history-section-example' },</t>
  </si>
  <si>
    <t>{ file:'2.16.840.1.113883.10.20.22.4.119.html', href:'https://hl7.org/cda/us/ccda/Binary-social-history-section-example.html', text:'social-history-section-example' },</t>
  </si>
  <si>
    <t>{ file:'2.16.840.1.113883.10.20.22.4.72.html', href:'https://hl7.org/cda/us/ccda/Binary-social-history-section-example.html', text:'social-history-section-example' },</t>
  </si>
  <si>
    <t>{ file:'2.16.840.1.113883.10.20.22.4.111.html', href:'https://hl7.org/cda/us/ccda/Binary-social-history-section-example.html', text:'social-history-section-example' },</t>
  </si>
  <si>
    <t>{ file:'2.16.840.1.113883.10.20.22.4.109.html', href:'https://hl7.org/cda/us/ccda/Binary-social-history-section-example.html', text:'social-history-section-example' },</t>
  </si>
  <si>
    <t>{ file:'2.16.840.1.113883.10.20.22.4.415.html', href:'https://hl7.org/cda/us/ccda/Binary-specimen-collection-procedure-example.html', text:'specimen-collection-procedure-example' },</t>
  </si>
  <si>
    <t>{ file:'2.16.840.1.113883.10.20.22.4.421.html', href:'https://hl7.org/cda/us/ccda/Binary-specimen-collection-procedure-example.html', text:'specimen-collection-procedure-example' },</t>
  </si>
  <si>
    <t>{ file:'2.16.840.1.113883.10.20.22.4.421.html', href:'https://hl7.org/cda/us/ccda/Binary-specimen-condition-observation-example.html', text:'specimen-condition-observation-example' },</t>
  </si>
  <si>
    <t>{ file:'2.16.840.1.113883.10.20.21.2.2.html', href:'https://hl7.org/cda/us/ccda/Binary-subjective-section-example.html', text:'subjective-section-example' },</t>
  </si>
  <si>
    <t>{ file:'2.16.840.1.113883.10.20.22.4.118.html', href:'https://hl7.org/cda/us/ccda/Binary-substance-administered-act-example.html', text:'substance-administered-act-example' },</t>
  </si>
  <si>
    <t>{ file:'2.16.840.1.113883.10.20.7.13.html', href:'https://hl7.org/cda/us/ccda/Binary-surgical-drains-section-example.html', text:'surgical-drains-section-example' },</t>
  </si>
  <si>
    <t>{ file:'2.16.840.1.113883.10.20.22.4.85.html', href:'https://hl7.org/cda/us/ccda/Binary-tobacco-use-example.html', text:'tobacco-use-example' },</t>
  </si>
  <si>
    <t>{ file:'2.16.840.1.113883.10.20.22.4.119.html', href:'https://hl7.org/cda/us/ccda/Binary-tobacco-use-example.html', text:'tobacco-use-example' },</t>
  </si>
  <si>
    <t>{ file:'2.16.840.1.113883.10.20.22.1.1.html', href:'https://hl7.org/cda/us/ccda/Binary-transfer-summary-header-example.html', text:'transfer-summary-header-example' },</t>
  </si>
  <si>
    <t>{ file:'2.16.840.1.113883.10.20.22.1.13.html', href:'https://hl7.org/cda/us/ccda/Binary-transfer-summary-header-example.html', text:'transfer-summary-header-example' },</t>
  </si>
  <si>
    <t>{ file:'2.16.840.1.113883.10.20.22.4.119.html', href:'https://hl7.org/cda/us/ccda/Binary-transfer-summary-header-example.html', text:'transfer-summary-header-example' },</t>
  </si>
  <si>
    <t>{ file:'2.16.840.1.113883.10.20.22.2.22.1.html', href:'https://hl7.org/cda/us/ccda/Binary-transfer-summary-header-example.html', text:'transfer-summary-header-example' },</t>
  </si>
  <si>
    <t>{ file:'2.16.840.1.113883.10.20.22.2.17.html', href:'https://hl7.org/cda/us/ccda/Binary-transfer-summary-header-example.html', text:'transfer-summary-header-example' },</t>
  </si>
  <si>
    <t>{ file:'2.16.840.1.113883.10.20.22.2.6.1.html', href:'https://hl7.org/cda/us/ccda/Binary-transfer-summary-header-example.html', text:'transfer-summary-header-example' },</t>
  </si>
  <si>
    <t>{ file:'2.16.840.1.113883.10.20.22.2.5.1.html', href:'https://hl7.org/cda/us/ccda/Binary-transfer-summary-header-example.html', text:'transfer-summary-header-example' },</t>
  </si>
  <si>
    <t>{ file:'2.16.840.1.113883.10.20.22.2.1.1.html', href:'https://hl7.org/cda/us/ccda/Binary-transfer-summary-header-example.html', text:'transfer-summary-header-example' },</t>
  </si>
  <si>
    <t>{ file:'2.16.840.1.113883.10.20.22.2.3.1.html', href:'https://hl7.org/cda/us/ccda/Binary-transfer-summary-header-example.html', text:'transfer-summary-header-example' },</t>
  </si>
  <si>
    <t>{ file:'2.16.840.1.113883.10.20.22.2.4.1.html', href:'https://hl7.org/cda/us/ccda/Binary-transfer-summary-header-example.html', text:'transfer-summary-header-example' },</t>
  </si>
  <si>
    <t>{ file:'2.16.840.1.113883.10.20.22.2.9.html', href:'https://hl7.org/cda/us/ccda/Binary-transfer-summary-header-example.html', text:'transfer-summary-header-example' },</t>
  </si>
  <si>
    <t>{ file:'1.3.6.1.4.1.19376.1.5.3.1.3.1.html', href:'https://hl7.org/cda/us/ccda/Binary-transfer-summary-header-example.html', text:'transfer-summary-header-example' },</t>
  </si>
  <si>
    <t>{ file:'2.16.840.1.113883.10.20.22.4.38.html', href:'https://hl7.org/cda/us/ccda/Binary-tribal-affiliation-example.html', text:'tribal-affiliation-example' },</t>
  </si>
  <si>
    <t>{ file:'2.16.840.1.113883.10.20.22.4.506.html', href:'https://hl7.org/cda/us/ccda/Binary-tribal-affiliation-example.html', text:'tribal-affiliation-example' },</t>
  </si>
  <si>
    <t>{ file:'2.16.840.1.113883.10.20.22.4.119.html', href:'https://hl7.org/cda/us/ccda/Binary-tribal-affiliation-example.html', text:'tribal-affiliation-example' },</t>
  </si>
  <si>
    <t>{ file:'2.16.840.1.113883.10.20.22.4.311.html', href:'https://hl7.org/cda/us/ccda/Binary-udi-organizer-example.html', text:'udi-organizer-example' },</t>
  </si>
  <si>
    <t>{ file:'2.16.840.1.113883.10.20.22.4.304.html', href:'https://hl7.org/cda/us/ccda/Binary-udi-organizer-example.html', text:'udi-organizer-example' },</t>
  </si>
  <si>
    <t>{ file:'2.16.840.1.113883.10.20.22.4.315.html', href:'https://hl7.org/cda/us/ccda/Binary-udi-organizer-example.html', text:'udi-organizer-example' },</t>
  </si>
  <si>
    <t>{ file:'2.16.840.1.113883.10.20.22.4.319.html', href:'https://hl7.org/cda/us/ccda/Binary-udi-organizer-example.html', text:'udi-organizer-example' },</t>
  </si>
  <si>
    <t>{ file:'2.16.840.1.113883.10.20.22.4.316.html', href:'https://hl7.org/cda/us/ccda/Binary-udi-organizer-example.html', text:'udi-organizer-example' },</t>
  </si>
  <si>
    <t>{ file:'2.16.840.1.113883.10.20.22.4.309.html', href:'https://hl7.org/cda/us/ccda/Binary-udi-organizer-example.html', text:'udi-organizer-example' },</t>
  </si>
  <si>
    <t>{ file:'2.16.840.1.113883.10.20.22.4.308.html', href:'https://hl7.org/cda/us/ccda/Binary-udi-organizer-example.html', text:'udi-organizer-example' },</t>
  </si>
  <si>
    <t>{ file:'2.16.840.1.113883.10.20.22.4.301.html', href:'https://hl7.org/cda/us/ccda/Binary-udi-organizer-example.html', text:'udi-organizer-example' },</t>
  </si>
  <si>
    <t>{ file:'2.16.840.1.113883.10.20.22.4.317.html', href:'https://hl7.org/cda/us/ccda/Binary-udi-organizer-example.html', text:'udi-organizer-example' },</t>
  </si>
  <si>
    <t>{ file:'2.16.840.1.113883.10.20.22.4.302.html', href:'https://hl7.org/cda/us/ccda/Binary-udi-organizer-example.html', text:'udi-organizer-example' },</t>
  </si>
  <si>
    <t>{ file:'2.16.840.1.113883.10.20.22.4.303.html', href:'https://hl7.org/cda/us/ccda/Binary-udi-organizer-example.html', text:'udi-organizer-example' },</t>
  </si>
  <si>
    <t>{ file:'2.16.840.1.113883.10.20.22.4.318.html', href:'https://hl7.org/cda/us/ccda/Binary-udi-organizer-example.html', text:'udi-organizer-example' },</t>
  </si>
  <si>
    <t>{ file:'2.16.840.1.113883.10.20.22.4.314.html', href:'https://hl7.org/cda/us/ccda/Binary-udi-organizer-example.html', text:'udi-organizer-example' },</t>
  </si>
  <si>
    <t>{ file:'2.16.840.1.113883.10.20.22.4.305.html', href:'https://hl7.org/cda/us/ccda/Binary-udi-organizer-example.html', text:'udi-organizer-example' },</t>
  </si>
  <si>
    <t>{ file:'2.16.840.1.113883.10.20.22.4.27.html', href:'https://hl7.org/cda/us/ccda/Binary-vital-sign-observation-example.html', text:'vital-sign-observation-example' },</t>
  </si>
  <si>
    <t>{ file:'2.16.840.1.113883.10.20.22.4.119.html', href:'https://hl7.org/cda/us/ccda/Binary-vital-sign-observation-example.html', text:'vital-sign-observation-example' },</t>
  </si>
  <si>
    <t>{ file:'2.16.840.1.113883.10.20.22.4.26.html', href:'https://hl7.org/cda/us/ccda/Binary-vital-signs-organizer-example.html', text:'vital-signs-organizer-example' },</t>
  </si>
  <si>
    <t>{ file:'2.16.840.1.113883.10.20.22.4.27.html', href:'https://hl7.org/cda/us/ccda/Binary-vital-signs-organizer-example.html', text:'vital-signs-organizer-example' },</t>
  </si>
  <si>
    <t>{ file:'2.16.840.1.113883.10.20.22.4.119.html', href:'https://hl7.org/cda/us/ccda/Binary-vital-signs-organizer-example.html', text:'vital-signs-organizer-example' },</t>
  </si>
  <si>
    <t>{ file:'2.16.840.1.113883.10.20.22.2.4.1.html', href:'https://hl7.org/cda/us/ccda/Binary-vital-signs-section-example.html', text:'vital-signs-section-example' },</t>
  </si>
  <si>
    <t>{ file:'2.16.840.1.113883.10.20.22.4.512.html', href:'https://hl7.org/cda/us/ccda/Binary-vital-signs-section-example.html', text:'vital-signs-section-example' },</t>
  </si>
  <si>
    <t>{ file:'2.16.840.1.113883.10.20.22.4.27.html', href:'https://hl7.org/cda/us/ccda/Binary-vital-signs-section-example.html', text:'vital-signs-section-example' },</t>
  </si>
  <si>
    <t>{ file:'2.16.840.1.113883.10.20.22.4.26.html', href:'https://hl7.org/cda/us/ccda/Binary-vital-signs-section-example.html', text:'vital-signs-section-example' },</t>
  </si>
  <si>
    <t>{ file:'2.16.840.1.113883.10.20.22.4.134.html', href:'https://hl7.org/cda/us/ccda/Binary-wound-characteristic-example.html', text:'wound-characteristic-example' },</t>
  </si>
  <si>
    <t>{ file:'2.16.840.1.113883.10.20.22.4.133.html', href:'https://hl7.org/cda/us/ccda/Binary-wound-measurement-observation-example.html', text:'wound-measurement-observation-example' },</t>
  </si>
  <si>
    <t>### Document Templates</t>
  </si>
  <si>
    <t>### Section Templates</t>
  </si>
  <si>
    <t>### Entry Templates</t>
  </si>
  <si>
    <t>### Participation &amp; Other Templates</t>
  </si>
  <si>
    <t>### Deprecated Templates</t>
  </si>
  <si>
    <t xml:space="preserve"> TemplateId </t>
  </si>
  <si>
    <t xml:space="preserve"> Template </t>
  </si>
  <si>
    <t xml:space="preserve"> ---------- </t>
  </si>
  <si>
    <t xml:space="preserve"> ------- </t>
  </si>
  <si>
    <t xml:space="preserve"> 1.3.6.1.4.1.19376.1.5.3.1.1.13.2.1 </t>
  </si>
  <si>
    <t xml:space="preserve"> 1.3.6.1.4.1.19376.1.5.3.1.3.4 </t>
  </si>
  <si>
    <t xml:space="preserve"> 1.3.6.1.4.1.19376.1.5.3.1.3.5 </t>
  </si>
  <si>
    <t xml:space="preserve"> 1.3.6.1.4.1.19376.1.5.3.1.3.18 </t>
  </si>
  <si>
    <t xml:space="preserve"> 1.3.6.1.4.1.19376.1.5.3.1.3.26 </t>
  </si>
  <si>
    <t xml:space="preserve"> 2.16.840.1.113883.10.20.2.5 </t>
  </si>
  <si>
    <t xml:space="preserve"> 2.16.840.1.113883.10.20.7.12 </t>
  </si>
  <si>
    <t xml:space="preserve"> 2.16.840.1.113883.10.20.7.13 </t>
  </si>
  <si>
    <t xml:space="preserve"> 2.16.840.1.113883.10.20.7.14 </t>
  </si>
  <si>
    <t xml:space="preserve"> 2.16.840.1.113883.10.20.18.2.9 </t>
  </si>
  <si>
    <t xml:space="preserve"> 2.16.840.1.113883.10.20.18.2.12 </t>
  </si>
  <si>
    <t xml:space="preserve"> 2.16.840.1.113883.10.20.21.2.1 </t>
  </si>
  <si>
    <t xml:space="preserve"> 2.16.840.1.113883.10.20.21.2.2 </t>
  </si>
  <si>
    <t xml:space="preserve"> 2.16.840.1.113883.10.20.22.2.8 </t>
  </si>
  <si>
    <t xml:space="preserve"> 2.16.840.1.113883.10.20.22.2.12 </t>
  </si>
  <si>
    <t xml:space="preserve"> 2.16.840.1.113883.10.20.22.2.13 </t>
  </si>
  <si>
    <t xml:space="preserve"> 2.16.840.1.113883.10.20.22.2.16 </t>
  </si>
  <si>
    <t xml:space="preserve"> 2.16.840.1.113883.10.20.22.2.27 </t>
  </si>
  <si>
    <t xml:space="preserve"> 2.16.840.1.113883.10.20.22.2.31 </t>
  </si>
  <si>
    <t xml:space="preserve"> 2.16.840.1.113883.10.20.22.2.35 </t>
  </si>
  <si>
    <t xml:space="preserve"> 2.16.840.1.113883.10.20.22.2.39 </t>
  </si>
  <si>
    <t xml:space="preserve"> 2.16.840.1.113883.10.20.22.2.40 </t>
  </si>
  <si>
    <t xml:space="preserve"> 2.16.840.1.113883.10.20.22.2.41 </t>
  </si>
  <si>
    <t xml:space="preserve"> 2.16.840.1.113883.10.20.22.2.42 </t>
  </si>
  <si>
    <t xml:space="preserve"> 2.16.840.1.113883.10.20.22.2.57 </t>
  </si>
  <si>
    <t xml:space="preserve"> 2.16.840.1.113883.10.20.22.2.60 </t>
  </si>
  <si>
    <t xml:space="preserve"> 2.16.840.1.113883.10.20.22.2.61 </t>
  </si>
  <si>
    <t xml:space="preserve"> 2.16.840.1.113883.10.20.22.2.64 </t>
  </si>
  <si>
    <t xml:space="preserve"> 2.16.840.1.113883.10.20.1.19 </t>
  </si>
  <si>
    <t xml:space="preserve"> 2.16.840.1.113883.10.20.1.58 </t>
  </si>
  <si>
    <t xml:space="preserve"> 2.16.840.1.113883.10.20.15.3.1 </t>
  </si>
  <si>
    <t xml:space="preserve"> 2.16.840.1.113883.10.20.22.4.24 </t>
  </si>
  <si>
    <t xml:space="preserve"> 2.16.840.1.113883.10.20.22.4.31 </t>
  </si>
  <si>
    <t xml:space="preserve"> 2.16.840.1.113883.10.20.22.4.32 </t>
  </si>
  <si>
    <t xml:space="preserve"> 2.16.840.1.113883.10.20.22.4.37 </t>
  </si>
  <si>
    <t xml:space="preserve"> 2.16.840.1.113883.10.20.22.4.47 </t>
  </si>
  <si>
    <t xml:space="preserve"> 2.16.840.1.113883.10.20.22.4.64 </t>
  </si>
  <si>
    <t xml:space="preserve"> 2.16.840.1.113883.10.20.22.4.72 </t>
  </si>
  <si>
    <t xml:space="preserve"> 2.16.840.1.113883.10.20.22.4.77 </t>
  </si>
  <si>
    <t xml:space="preserve"> 2.16.840.1.113883.10.20.22.4.87 </t>
  </si>
  <si>
    <t xml:space="preserve"> 2.16.840.1.113883.10.20.22.4.88 </t>
  </si>
  <si>
    <t xml:space="preserve"> 2.16.840.1.113883.10.20.22.4.89 </t>
  </si>
  <si>
    <t xml:space="preserve"> 2.16.840.1.113883.10.20.22.4.90 </t>
  </si>
  <si>
    <t xml:space="preserve"> 2.16.840.1.113883.10.20.22.4.109 </t>
  </si>
  <si>
    <t xml:space="preserve"> 2.16.840.1.113883.10.20.22.4.110 </t>
  </si>
  <si>
    <t xml:space="preserve"> 2.16.840.1.113883.10.20.22.4.111 </t>
  </si>
  <si>
    <t xml:space="preserve"> 2.16.840.1.113883.10.20.22.4.113 </t>
  </si>
  <si>
    <t xml:space="preserve"> 2.16.840.1.113883.10.20.22.4.118 </t>
  </si>
  <si>
    <t xml:space="preserve"> 2.16.840.1.113883.10.20.22.4.120 </t>
  </si>
  <si>
    <t xml:space="preserve"> 2.16.840.1.113883.10.20.22.4.122 </t>
  </si>
  <si>
    <t xml:space="preserve"> 2.16.840.1.113883.10.20.22.4.123 </t>
  </si>
  <si>
    <t xml:space="preserve"> 2.16.840.1.113883.10.20.22.4.124 </t>
  </si>
  <si>
    <t xml:space="preserve"> 2.16.840.1.113883.10.20.22.4.127 </t>
  </si>
  <si>
    <t xml:space="preserve"> 2.16.840.1.113883.10.20.22.4.128 </t>
  </si>
  <si>
    <t xml:space="preserve"> 2.16.840.1.113883.10.20.22.4.130 </t>
  </si>
  <si>
    <t xml:space="preserve"> 2.16.840.1.113883.10.20.22.4.133 </t>
  </si>
  <si>
    <t xml:space="preserve"> 2.16.840.1.113883.10.20.22.4.134 </t>
  </si>
  <si>
    <t xml:space="preserve"> 2.16.840.1.113883.10.20.22.4.135 </t>
  </si>
  <si>
    <t xml:space="preserve"> 2.16.840.1.113883.10.20.22.4.138 </t>
  </si>
  <si>
    <t xml:space="preserve"> 2.16.840.1.113883.10.20.22.4.140 </t>
  </si>
  <si>
    <t xml:space="preserve"> 2.16.840.1.113883.10.20.22.4.141 </t>
  </si>
  <si>
    <t xml:space="preserve"> 2.16.840.1.113883.10.20.22.4.143 </t>
  </si>
  <si>
    <t xml:space="preserve"> 2.16.840.1.113883.10.20.22.4.144 </t>
  </si>
  <si>
    <t xml:space="preserve"> 2.16.840.1.113883.10.20.22.4.145 </t>
  </si>
  <si>
    <t xml:space="preserve"> 2.16.840.1.113883.10.20.22.4.147 </t>
  </si>
  <si>
    <t xml:space="preserve"> 2.16.840.1.113883.10.20.22.4.119 </t>
  </si>
  <si>
    <t xml:space="preserve"> 2.16.840.1.113883.10.20.22.5.1 </t>
  </si>
  <si>
    <t xml:space="preserve"> 2.16.840.1.113883.10.20.22.5.1.1 </t>
  </si>
  <si>
    <t xml:space="preserve"> 2.16.840.1.113883.10.20.22.5.2 </t>
  </si>
  <si>
    <t xml:space="preserve"> 2.16.840.1.113883.10.20.22.5.3 </t>
  </si>
  <si>
    <t xml:space="preserve"> 2.16.840.1.113883.10.20.22.5.4 </t>
  </si>
  <si>
    <t xml:space="preserve"> 2.16.840.1.113883.10.20.22.1.1</t>
  </si>
  <si>
    <t xml:space="preserve"> 2.16.840.1.113883.10.20.22.1.2</t>
  </si>
  <si>
    <t xml:space="preserve"> 2.16.840.1.113883.10.20.22.1.3</t>
  </si>
  <si>
    <t xml:space="preserve"> 2.16.840.1.113883.10.20.22.1.4</t>
  </si>
  <si>
    <t xml:space="preserve"> 2.16.840.1.113883.10.20.22.1.6</t>
  </si>
  <si>
    <t xml:space="preserve"> 2.16.840.1.113883.10.20.22.1.7</t>
  </si>
  <si>
    <t xml:space="preserve"> 2.16.840.1.113883.10.20.22.1.8</t>
  </si>
  <si>
    <t xml:space="preserve"> 2.16.840.1.113883.10.20.22.1.9</t>
  </si>
  <si>
    <t xml:space="preserve"> 2.16.840.1.113883.10.20.22.1.10</t>
  </si>
  <si>
    <t xml:space="preserve"> 2.16.840.1.113883.10.20.22.1.13</t>
  </si>
  <si>
    <t xml:space="preserve"> 2.16.840.1.113883.10.20.22.1.14</t>
  </si>
  <si>
    <t xml:space="preserve"> 2.16.840.1.113883.10.20.22.1.15</t>
  </si>
  <si>
    <t xml:space="preserve"> 2.16.840.1.113883.10.20.29.1</t>
  </si>
  <si>
    <t xml:space="preserve"> 1.3.6.1.4.1.19376.1.5.3.1.3.1</t>
  </si>
  <si>
    <t xml:space="preserve"> 2.16.840.1.113883.10.20.2.10</t>
  </si>
  <si>
    <t xml:space="preserve"> 2.16.840.1.113883.10.20.21.2.3</t>
  </si>
  <si>
    <t xml:space="preserve"> 2.16.840.1.113883.10.20.22.2.1.1</t>
  </si>
  <si>
    <t xml:space="preserve"> 2.16.840.1.113883.10.20.22.2.2.1</t>
  </si>
  <si>
    <t xml:space="preserve"> 2.16.840.1.113883.10.20.22.2.3.1</t>
  </si>
  <si>
    <t xml:space="preserve"> 2.16.840.1.113883.10.20.22.2.4.1</t>
  </si>
  <si>
    <t xml:space="preserve"> 2.16.840.1.113883.10.20.22.2.5.1</t>
  </si>
  <si>
    <t xml:space="preserve"> 2.16.840.1.113883.10.20.22.2.6.1</t>
  </si>
  <si>
    <t xml:space="preserve"> 2.16.840.1.113883.10.20.22.2.7.1</t>
  </si>
  <si>
    <t xml:space="preserve"> 2.16.840.1.113883.10.20.22.2.9</t>
  </si>
  <si>
    <t xml:space="preserve"> 2.16.840.1.113883.10.20.22.2.10</t>
  </si>
  <si>
    <t xml:space="preserve"> 2.16.840.1.113883.10.20.22.2.11.1</t>
  </si>
  <si>
    <t xml:space="preserve"> 2.16.840.1.113883.10.20.22.2.14</t>
  </si>
  <si>
    <t xml:space="preserve"> 2.16.840.1.113883.10.20.22.2.15</t>
  </si>
  <si>
    <t xml:space="preserve"> 2.16.840.1.113883.10.20.22.2.17</t>
  </si>
  <si>
    <t xml:space="preserve"> 2.16.840.1.113883.10.20.22.2.18</t>
  </si>
  <si>
    <t xml:space="preserve"> 2.16.840.1.113883.10.20.22.2.20</t>
  </si>
  <si>
    <t xml:space="preserve"> 2.16.840.1.113883.10.20.22.2.21.1</t>
  </si>
  <si>
    <t xml:space="preserve"> 2.16.840.1.113883.10.20.22.2.22.1</t>
  </si>
  <si>
    <t xml:space="preserve"> 2.16.840.1.113883.10.20.22.2.23</t>
  </si>
  <si>
    <t xml:space="preserve"> 2.16.840.1.113883.10.20.22.2.24</t>
  </si>
  <si>
    <t xml:space="preserve"> 2.16.840.1.113883.10.20.22.2.25</t>
  </si>
  <si>
    <t xml:space="preserve"> 2.16.840.1.113883.10.20.22.2.28</t>
  </si>
  <si>
    <t xml:space="preserve"> 2.16.840.1.113883.10.20.22.2.29</t>
  </si>
  <si>
    <t xml:space="preserve"> 2.16.840.1.113883.10.20.22.2.30</t>
  </si>
  <si>
    <t xml:space="preserve"> 2.16.840.1.113883.10.20.22.2.34</t>
  </si>
  <si>
    <t xml:space="preserve"> 2.16.840.1.113883.10.20.22.2.36</t>
  </si>
  <si>
    <t xml:space="preserve"> 2.16.840.1.113883.10.20.22.2.37</t>
  </si>
  <si>
    <t xml:space="preserve"> 2.16.840.1.113883.10.20.22.2.38</t>
  </si>
  <si>
    <t xml:space="preserve"> 2.16.840.1.113883.10.20.22.2.43</t>
  </si>
  <si>
    <t xml:space="preserve"> 2.16.840.1.113883.10.20.22.2.44</t>
  </si>
  <si>
    <t xml:space="preserve"> 2.16.840.1.113883.10.20.22.2.45</t>
  </si>
  <si>
    <t xml:space="preserve"> 2.16.840.1.113883.10.20.22.2.56</t>
  </si>
  <si>
    <t xml:space="preserve"> 2.16.840.1.113883.10.20.22.2.58</t>
  </si>
  <si>
    <t xml:space="preserve"> 2.16.840.1.113883.10.20.22.2.65</t>
  </si>
  <si>
    <t xml:space="preserve"> 2.16.840.1.113883.10.20.22.2.500</t>
  </si>
  <si>
    <t xml:space="preserve"> 2.16.840.1.113883.10.15.2</t>
  </si>
  <si>
    <t xml:space="preserve"> 2.16.840.1.113883.10.20.15.3.8</t>
  </si>
  <si>
    <t xml:space="preserve"> 2.16.840.1.113883.10.20.22.4.1</t>
  </si>
  <si>
    <t xml:space="preserve"> 2.16.840.1.113883.10.20.22.4.2</t>
  </si>
  <si>
    <t xml:space="preserve"> 2.16.840.1.113883.10.20.22.4.3</t>
  </si>
  <si>
    <t xml:space="preserve"> 2.16.840.1.113883.10.20.22.4.4</t>
  </si>
  <si>
    <t xml:space="preserve"> 2.16.840.1.113883.10.20.22.4.5</t>
  </si>
  <si>
    <t xml:space="preserve"> 2.16.840.1.113883.10.20.22.4.6</t>
  </si>
  <si>
    <t xml:space="preserve"> 2.16.840.1.113883.10.20.22.4.7</t>
  </si>
  <si>
    <t xml:space="preserve"> 2.16.840.1.113883.10.20.22.4.8</t>
  </si>
  <si>
    <t xml:space="preserve"> 2.16.840.1.113883.10.20.22.4.9</t>
  </si>
  <si>
    <t xml:space="preserve"> 2.16.840.1.113883.10.20.22.4.14</t>
  </si>
  <si>
    <t xml:space="preserve"> 2.16.840.1.113883.10.20.22.4.16</t>
  </si>
  <si>
    <t xml:space="preserve"> 2.16.840.1.113883.10.20.22.4.17</t>
  </si>
  <si>
    <t xml:space="preserve"> 2.16.840.1.113883.10.20.22.4.18</t>
  </si>
  <si>
    <t xml:space="preserve"> 2.16.840.1.113883.10.20.22.4.19</t>
  </si>
  <si>
    <t xml:space="preserve"> 2.16.840.1.113883.10.20.22.4.23</t>
  </si>
  <si>
    <t xml:space="preserve"> 2.16.840.1.113883.10.20.22.4.25</t>
  </si>
  <si>
    <t xml:space="preserve"> 2.16.840.1.113883.10.20.22.4.26</t>
  </si>
  <si>
    <t xml:space="preserve"> 2.16.840.1.113883.10.20.22.4.27</t>
  </si>
  <si>
    <t xml:space="preserve"> 2.16.840.1.113883.10.20.22.4.28</t>
  </si>
  <si>
    <t xml:space="preserve"> 2.16.840.1.113883.10.20.22.4.30</t>
  </si>
  <si>
    <t xml:space="preserve"> 2.16.840.1.113883.10.20.22.4.33</t>
  </si>
  <si>
    <t xml:space="preserve"> 2.16.840.1.113883.10.20.22.4.34</t>
  </si>
  <si>
    <t xml:space="preserve"> 2.16.840.1.113883.10.20.22.4.35</t>
  </si>
  <si>
    <t xml:space="preserve"> 2.16.840.1.113883.10.20.22.4.36</t>
  </si>
  <si>
    <t xml:space="preserve"> 2.16.840.1.113883.10.20.22.4.38</t>
  </si>
  <si>
    <t xml:space="preserve"> 2.16.840.1.113883.10.20.22.4.40</t>
  </si>
  <si>
    <t xml:space="preserve"> 2.16.840.1.113883.10.20.22.4.41</t>
  </si>
  <si>
    <t xml:space="preserve"> 2.16.840.1.113883.10.20.22.4.42</t>
  </si>
  <si>
    <t xml:space="preserve"> 2.16.840.1.113883.10.20.22.4.43</t>
  </si>
  <si>
    <t xml:space="preserve"> 2.16.840.1.113883.10.20.22.4.45</t>
  </si>
  <si>
    <t xml:space="preserve"> 2.16.840.1.113883.10.20.22.4.46</t>
  </si>
  <si>
    <t xml:space="preserve"> 2.16.840.1.113883.10.20.22.4.48</t>
  </si>
  <si>
    <t xml:space="preserve"> 2.16.840.1.113883.10.20.22.4.49</t>
  </si>
  <si>
    <t xml:space="preserve"> 2.16.840.1.113883.10.20.22.4.50</t>
  </si>
  <si>
    <t xml:space="preserve"> 2.16.840.1.113883.10.20.22.4.51</t>
  </si>
  <si>
    <t xml:space="preserve"> 2.16.840.1.113883.10.20.22.4.52</t>
  </si>
  <si>
    <t xml:space="preserve"> 2.16.840.1.113883.10.20.22.4.53</t>
  </si>
  <si>
    <t xml:space="preserve"> 2.16.840.1.113883.10.20.22.4.54</t>
  </si>
  <si>
    <t xml:space="preserve"> 2.16.840.1.113883.10.20.22.4.60</t>
  </si>
  <si>
    <t xml:space="preserve"> 2.16.840.1.113883.10.20.22.4.61</t>
  </si>
  <si>
    <t xml:space="preserve"> 2.16.840.1.113883.10.20.22.4.65</t>
  </si>
  <si>
    <t xml:space="preserve"> 2.16.840.1.113883.10.20.22.4.66</t>
  </si>
  <si>
    <t xml:space="preserve"> 2.16.840.1.113883.10.20.22.4.67</t>
  </si>
  <si>
    <t xml:space="preserve"> 2.16.840.1.113883.10.20.22.4.69</t>
  </si>
  <si>
    <t xml:space="preserve"> 2.16.840.1.113883.10.20.22.4.74</t>
  </si>
  <si>
    <t xml:space="preserve"> 2.16.840.1.113883.10.20.22.4.75</t>
  </si>
  <si>
    <t xml:space="preserve"> 2.16.840.1.113883.10.20.22.4.76</t>
  </si>
  <si>
    <t xml:space="preserve"> 2.16.840.1.113883.10.20.22.4.79</t>
  </si>
  <si>
    <t xml:space="preserve"> 2.16.840.1.113883.10.20.22.4.80</t>
  </si>
  <si>
    <t xml:space="preserve"> 2.16.840.1.113883.10.20.22.4.86</t>
  </si>
  <si>
    <t xml:space="preserve"> 2.16.840.1.113883.10.20.22.4.114</t>
  </si>
  <si>
    <t xml:space="preserve"> 2.16.840.1.113883.10.20.22.4.115</t>
  </si>
  <si>
    <t xml:space="preserve"> 2.16.840.1.113883.10.20.22.4.121</t>
  </si>
  <si>
    <t xml:space="preserve"> 2.16.840.1.113883.10.20.22.4.129</t>
  </si>
  <si>
    <t xml:space="preserve"> 2.16.840.1.113883.10.20.22.4.131</t>
  </si>
  <si>
    <t xml:space="preserve"> 2.16.840.1.113883.10.20.22.4.132</t>
  </si>
  <si>
    <t xml:space="preserve"> 2.16.840.1.113883.10.20.22.4.136</t>
  </si>
  <si>
    <t xml:space="preserve"> 2.16.840.1.113883.10.20.22.4.146</t>
  </si>
  <si>
    <t xml:space="preserve"> 2.16.840.1.113883.10.20.22.4.200</t>
  </si>
  <si>
    <t xml:space="preserve"> 2.16.840.1.113883.10.20.22.4.201</t>
  </si>
  <si>
    <t xml:space="preserve"> 2.16.840.1.113883.10.20.22.4.202</t>
  </si>
  <si>
    <t xml:space="preserve"> 2.16.840.1.113883.10.20.22.4.281</t>
  </si>
  <si>
    <t xml:space="preserve"> 2.16.840.1.113883.10.20.22.4.301</t>
  </si>
  <si>
    <t xml:space="preserve"> 2.16.840.1.113883.10.20.22.4.302</t>
  </si>
  <si>
    <t xml:space="preserve"> 2.16.840.1.113883.10.20.22.4.303</t>
  </si>
  <si>
    <t xml:space="preserve"> 2.16.840.1.113883.10.20.22.4.304</t>
  </si>
  <si>
    <t xml:space="preserve"> 2.16.840.1.113883.10.20.22.4.305</t>
  </si>
  <si>
    <t xml:space="preserve"> 2.16.840.1.113883.10.20.22.4.308</t>
  </si>
  <si>
    <t xml:space="preserve"> 2.16.840.1.113883.10.20.22.4.309</t>
  </si>
  <si>
    <t xml:space="preserve"> 2.16.840.1.113883.10.20.22.4.311</t>
  </si>
  <si>
    <t xml:space="preserve"> 2.16.840.1.113883.10.20.22.4.314</t>
  </si>
  <si>
    <t xml:space="preserve"> 2.16.840.1.113883.10.20.22.4.315</t>
  </si>
  <si>
    <t xml:space="preserve"> 2.16.840.1.113883.10.20.22.4.316</t>
  </si>
  <si>
    <t xml:space="preserve"> 2.16.840.1.113883.10.20.22.4.317</t>
  </si>
  <si>
    <t xml:space="preserve"> 2.16.840.1.113883.10.20.22.4.318</t>
  </si>
  <si>
    <t xml:space="preserve"> 2.16.840.1.113883.10.20.22.4.319</t>
  </si>
  <si>
    <t xml:space="preserve"> 2.16.840.1.113883.10.20.22.4.415</t>
  </si>
  <si>
    <t xml:space="preserve"> 2.16.840.1.113883.10.20.22.4.421</t>
  </si>
  <si>
    <t xml:space="preserve"> 2.16.840.1.113883.10.20.22.4.500</t>
  </si>
  <si>
    <t xml:space="preserve"> 2.16.840.1.113883.10.20.22.4.500.1</t>
  </si>
  <si>
    <t xml:space="preserve"> 2.16.840.1.113883.10.20.22.4.500.2</t>
  </si>
  <si>
    <t xml:space="preserve"> 2.16.840.1.113883.10.20.22.4.500.3</t>
  </si>
  <si>
    <t xml:space="preserve"> 2.16.840.1.113883.10.20.22.4.501</t>
  </si>
  <si>
    <t xml:space="preserve"> 2.16.840.1.113883.10.20.22.4.502</t>
  </si>
  <si>
    <t xml:space="preserve"> 2.16.840.1.113883.10.20.22.4.503</t>
  </si>
  <si>
    <t xml:space="preserve"> 2.16.840.1.113883.10.20.22.4.504</t>
  </si>
  <si>
    <t xml:space="preserve"> 2.16.840.1.113883.10.20.22.4.505</t>
  </si>
  <si>
    <t xml:space="preserve"> 2.16.840.1.113883.10.20.22.4.506</t>
  </si>
  <si>
    <t xml:space="preserve"> 2.16.840.1.113883.10.20.22.4.507</t>
  </si>
  <si>
    <t xml:space="preserve"> 2.16.840.1.113883.10.20.22.4.508</t>
  </si>
  <si>
    <t xml:space="preserve"> 2.16.840.1.113883.10.20.22.4.509</t>
  </si>
  <si>
    <t xml:space="preserve"> 2.16.840.1.113883.10.20.22.4.510</t>
  </si>
  <si>
    <t xml:space="preserve"> 2.16.840.1.113883.10.20.22.4.511</t>
  </si>
  <si>
    <t xml:space="preserve"> 2.16.840.1.113883.10.20.22.4.512</t>
  </si>
  <si>
    <t xml:space="preserve"> 2.16.840.1.113883.10.20.22.4.513</t>
  </si>
  <si>
    <t xml:space="preserve"> 2.16.840.1.113883.10.20.22.4.515</t>
  </si>
  <si>
    <t xml:space="preserve"> 2.16.840.1.113883.10.20.22.4.516</t>
  </si>
  <si>
    <t xml:space="preserve"> 2.16.840.1.113883.10.20.22.4.518</t>
  </si>
  <si>
    <t xml:space="preserve"> 2.16.840.1.113883.10.20.24.3.88</t>
  </si>
  <si>
    <t xml:space="preserve"> 2.16.840.1.113883.10.20.24.3.90</t>
  </si>
  <si>
    <t xml:space="preserve"> 2.16.840.1.113883.10.20.34.3.45</t>
  </si>
  <si>
    <t xml:space="preserve"> 2.16.840.1.113883.10.20.22.5.6</t>
  </si>
  <si>
    <t xml:space="preserve"> 2.16.840.1.113883.10.20.22.5.7</t>
  </si>
  <si>
    <t xml:space="preserve"> 2.16.840.1.113883.10.20.22.5.8</t>
  </si>
  <si>
    <t xml:space="preserve"> 2.16.840.1.113883.10.20.22.4.20</t>
  </si>
  <si>
    <t xml:space="preserve"> 2.16.840.1.113883.10.20.22.4.78</t>
  </si>
  <si>
    <t xml:space="preserve"> 2.16.840.1.113883.10.20.22.4.85</t>
  </si>
  <si>
    <t xml:space="preserve"> 2.16.840.1.113883.10.20.22.4.108</t>
  </si>
  <si>
    <t xml:space="preserve"> USRealmHeader</t>
  </si>
  <si>
    <t xml:space="preserve"> ContinuityofCareDocumentCCD</t>
  </si>
  <si>
    <t xml:space="preserve"> HistoryandPhysical</t>
  </si>
  <si>
    <t xml:space="preserve"> ConsultationNote</t>
  </si>
  <si>
    <t xml:space="preserve"> ProcedureNote</t>
  </si>
  <si>
    <t xml:space="preserve"> OperativeNote</t>
  </si>
  <si>
    <t xml:space="preserve"> DischargeSummary</t>
  </si>
  <si>
    <t xml:space="preserve"> ProgressNote</t>
  </si>
  <si>
    <t xml:space="preserve"> UnstructuredDocument</t>
  </si>
  <si>
    <t xml:space="preserve"> TransferSummary</t>
  </si>
  <si>
    <t xml:space="preserve"> ReferralNote</t>
  </si>
  <si>
    <t xml:space="preserve"> CarePlan</t>
  </si>
  <si>
    <t xml:space="preserve"> USRealmHeaderforPatientGeneratedDocument</t>
  </si>
  <si>
    <t xml:space="preserve"> ChiefComplaintSection</t>
  </si>
  <si>
    <t xml:space="preserve"> ReasonforReferralSection</t>
  </si>
  <si>
    <t xml:space="preserve"> HistoryofPresentIllnessSection</t>
  </si>
  <si>
    <t xml:space="preserve"> HospitalCourseSection</t>
  </si>
  <si>
    <t xml:space="preserve"> ReviewofSystemsSection</t>
  </si>
  <si>
    <t xml:space="preserve"> HospitalDischargePhysicalSection</t>
  </si>
  <si>
    <t xml:space="preserve"> GeneralStatusSection</t>
  </si>
  <si>
    <t xml:space="preserve"> PhysicalExamSection</t>
  </si>
  <si>
    <t xml:space="preserve"> OperativeNoteFluidsSection</t>
  </si>
  <si>
    <t xml:space="preserve"> SurgicalDrainsSection</t>
  </si>
  <si>
    <t xml:space="preserve"> OperativeNoteSurgicalProcedureSection</t>
  </si>
  <si>
    <t xml:space="preserve"> ProcedureEstimatedBloodLossSection</t>
  </si>
  <si>
    <t xml:space="preserve"> ProcedureDispositionSection</t>
  </si>
  <si>
    <t xml:space="preserve"> ObjectiveSection</t>
  </si>
  <si>
    <t xml:space="preserve"> SubjectiveSection</t>
  </si>
  <si>
    <t xml:space="preserve"> ActivitiesSection</t>
  </si>
  <si>
    <t xml:space="preserve"> MedicationsSection</t>
  </si>
  <si>
    <t xml:space="preserve"> ImmunizationsSection</t>
  </si>
  <si>
    <t xml:space="preserve"> ResultsSection</t>
  </si>
  <si>
    <t xml:space="preserve"> VitalSignsSection</t>
  </si>
  <si>
    <t xml:space="preserve"> ProblemSection</t>
  </si>
  <si>
    <t xml:space="preserve"> AllergiesAndIntolerancesSection</t>
  </si>
  <si>
    <t xml:space="preserve"> ProceduresSection</t>
  </si>
  <si>
    <t xml:space="preserve"> AssessmentSection</t>
  </si>
  <si>
    <t xml:space="preserve"> AssessmentandPlanSection</t>
  </si>
  <si>
    <t xml:space="preserve"> PlanofTreatmentSection</t>
  </si>
  <si>
    <t xml:space="preserve"> DischargeMedicationsSection</t>
  </si>
  <si>
    <t xml:space="preserve"> ReasonforVisitSection</t>
  </si>
  <si>
    <t xml:space="preserve"> ChiefComplaintandReasonforVisitSection</t>
  </si>
  <si>
    <t xml:space="preserve"> FunctionalStatusSection</t>
  </si>
  <si>
    <t xml:space="preserve"> FamilyHistorySection</t>
  </si>
  <si>
    <t xml:space="preserve"> HospitalDischargeStudiesSummarySection</t>
  </si>
  <si>
    <t xml:space="preserve"> SocialHistorySection</t>
  </si>
  <si>
    <t xml:space="preserve"> PayersSection</t>
  </si>
  <si>
    <t xml:space="preserve"> PastMedicalHistory</t>
  </si>
  <si>
    <t xml:space="preserve"> AdvanceDirectivesSection</t>
  </si>
  <si>
    <t xml:space="preserve"> EncountersSection</t>
  </si>
  <si>
    <t xml:space="preserve"> MedicalEquipmentSection</t>
  </si>
  <si>
    <t xml:space="preserve"> DischargeDiagnosisSection</t>
  </si>
  <si>
    <t xml:space="preserve"> AnesthesiaSection</t>
  </si>
  <si>
    <t xml:space="preserve"> ProcedureDescriptionSection</t>
  </si>
  <si>
    <t xml:space="preserve"> ProcedureFindingsSection</t>
  </si>
  <si>
    <t xml:space="preserve"> ProcedureIndicationsSection</t>
  </si>
  <si>
    <t xml:space="preserve"> PlannedProcedureSection</t>
  </si>
  <si>
    <t xml:space="preserve"> ProcedureSpecimensTakenSection</t>
  </si>
  <si>
    <t xml:space="preserve"> PreoperativeDiagnosisSection</t>
  </si>
  <si>
    <t xml:space="preserve"> PostoperativeDiagnosisSection</t>
  </si>
  <si>
    <t xml:space="preserve"> PostprocedureDiagnosisSection</t>
  </si>
  <si>
    <t xml:space="preserve"> ComplicationsSection</t>
  </si>
  <si>
    <t xml:space="preserve"> MedicationsAdministeredSection</t>
  </si>
  <si>
    <t xml:space="preserve"> MedicalGeneralHistorySection</t>
  </si>
  <si>
    <t xml:space="preserve"> ProcedureImplantsSection</t>
  </si>
  <si>
    <t xml:space="preserve"> HospitalDischargeInstructionsSection</t>
  </si>
  <si>
    <t xml:space="preserve"> HospitalConsultationsSection</t>
  </si>
  <si>
    <t xml:space="preserve"> AdmissionDiagnosisSection</t>
  </si>
  <si>
    <t xml:space="preserve"> AdmissionMedicationsSectionEntriesOptional</t>
  </si>
  <si>
    <t xml:space="preserve"> InstructionsSection</t>
  </si>
  <si>
    <t xml:space="preserve"> MentalStatusSection</t>
  </si>
  <si>
    <t xml:space="preserve"> NutritionSection</t>
  </si>
  <si>
    <t xml:space="preserve"> HealthConcernsSection</t>
  </si>
  <si>
    <t xml:space="preserve"> GoalsSection</t>
  </si>
  <si>
    <t xml:space="preserve"> OutcomesSection</t>
  </si>
  <si>
    <t xml:space="preserve"> CourseofCareSection</t>
  </si>
  <si>
    <t xml:space="preserve"> NotesSection</t>
  </si>
  <si>
    <t xml:space="preserve"> CareTeamsSection</t>
  </si>
  <si>
    <t xml:space="preserve"> IndividualPronounObservation</t>
  </si>
  <si>
    <t xml:space="preserve"> AuthorizationActivity</t>
  </si>
  <si>
    <t xml:space="preserve"> AdvanceDirectiveObservation</t>
  </si>
  <si>
    <t xml:space="preserve"> EstimatedDateofDelivery</t>
  </si>
  <si>
    <t xml:space="preserve"> PregnancyStatusObservation</t>
  </si>
  <si>
    <t xml:space="preserve"> ResultOrganizer</t>
  </si>
  <si>
    <t xml:space="preserve"> ResultObservation</t>
  </si>
  <si>
    <t xml:space="preserve"> ProblemConcernAct</t>
  </si>
  <si>
    <t xml:space="preserve"> ProblemObservation</t>
  </si>
  <si>
    <t xml:space="preserve"> HealthStatusObservation</t>
  </si>
  <si>
    <t xml:space="preserve"> ProblemStatus</t>
  </si>
  <si>
    <t xml:space="preserve"> AllergyIntoleranceObservation</t>
  </si>
  <si>
    <t xml:space="preserve"> SeverityObservation</t>
  </si>
  <si>
    <t xml:space="preserve"> ReactionObservation</t>
  </si>
  <si>
    <t xml:space="preserve"> ProcedureActivityProcedure</t>
  </si>
  <si>
    <t xml:space="preserve"> MedicationActivity</t>
  </si>
  <si>
    <t xml:space="preserve"> MedicationSupplyOrder</t>
  </si>
  <si>
    <t xml:space="preserve"> MedicationDispense</t>
  </si>
  <si>
    <t xml:space="preserve"> Indication</t>
  </si>
  <si>
    <t xml:space="preserve"> MedicationInformation</t>
  </si>
  <si>
    <t xml:space="preserve"> DrugVehicle</t>
  </si>
  <si>
    <t xml:space="preserve"> PreconditionforSubstanceAdministration</t>
  </si>
  <si>
    <t xml:space="preserve"> VitalSignsOrganizer</t>
  </si>
  <si>
    <t xml:space="preserve"> VitalSignObservation</t>
  </si>
  <si>
    <t xml:space="preserve"> AllergyStatusObservation</t>
  </si>
  <si>
    <t xml:space="preserve"> AllergyConcernAct</t>
  </si>
  <si>
    <t xml:space="preserve"> AgeObservation</t>
  </si>
  <si>
    <t xml:space="preserve"> ServiceDeliveryLocation</t>
  </si>
  <si>
    <t xml:space="preserve"> HospitalDischargeDiagnosis</t>
  </si>
  <si>
    <t xml:space="preserve"> HospitalAdmissionDiagnosis</t>
  </si>
  <si>
    <t xml:space="preserve"> DischargeMedication</t>
  </si>
  <si>
    <t xml:space="preserve"> AdmissionMedication</t>
  </si>
  <si>
    <t xml:space="preserve"> ProductInstance</t>
  </si>
  <si>
    <t xml:space="preserve"> SocialHistoryObservation</t>
  </si>
  <si>
    <t xml:space="preserve"> PlannedEncounter</t>
  </si>
  <si>
    <t xml:space="preserve"> PlannedProcedure</t>
  </si>
  <si>
    <t xml:space="preserve"> PlannedMedicationActivity</t>
  </si>
  <si>
    <t xml:space="preserve"> PlannedSupply</t>
  </si>
  <si>
    <t xml:space="preserve"> FamilyHistoryOrganizer</t>
  </si>
  <si>
    <t xml:space="preserve"> FamilyHistoryObservation</t>
  </si>
  <si>
    <t xml:space="preserve"> FamilyHistoryDeathObservation</t>
  </si>
  <si>
    <t xml:space="preserve"> EncounterActivity</t>
  </si>
  <si>
    <t xml:space="preserve"> NonMedicinalSupplyActivity</t>
  </si>
  <si>
    <t xml:space="preserve"> PostprocedureDiagnosis</t>
  </si>
  <si>
    <t xml:space="preserve"> ImmunizationActivity</t>
  </si>
  <si>
    <t xml:space="preserve"> ImmunizationNotGivenReason</t>
  </si>
  <si>
    <t xml:space="preserve"> ImmunizationMedicationInformation</t>
  </si>
  <si>
    <t xml:space="preserve"> CoverageActivity</t>
  </si>
  <si>
    <t xml:space="preserve"> PolicyActivity</t>
  </si>
  <si>
    <t xml:space="preserve"> CommentActivity</t>
  </si>
  <si>
    <t xml:space="preserve"> PreoperativeDiagnosis</t>
  </si>
  <si>
    <t xml:space="preserve"> FunctionalStatusOrganizer</t>
  </si>
  <si>
    <t xml:space="preserve"> FunctionalStatusObservation</t>
  </si>
  <si>
    <t xml:space="preserve"> AssessmentScaleObservation</t>
  </si>
  <si>
    <t xml:space="preserve"> CaregiverCharacteristics</t>
  </si>
  <si>
    <t xml:space="preserve"> MentalStatusObservation</t>
  </si>
  <si>
    <t xml:space="preserve"> MentalStatusOrganizer</t>
  </si>
  <si>
    <t xml:space="preserve"> NumberofPressureUlcersObservation</t>
  </si>
  <si>
    <t xml:space="preserve"> HighestPressureUlcerStage</t>
  </si>
  <si>
    <t xml:space="preserve"> DeceasedObservation</t>
  </si>
  <si>
    <t xml:space="preserve"> EncounterDiagnosis</t>
  </si>
  <si>
    <t xml:space="preserve"> AssessmentScaleSupportingObservation</t>
  </si>
  <si>
    <t xml:space="preserve"> CharacteristicsofHomeEnvironment</t>
  </si>
  <si>
    <t xml:space="preserve"> ProgressTowardGoalObservation</t>
  </si>
  <si>
    <t xml:space="preserve"> CulturalandReligiousObservation</t>
  </si>
  <si>
    <t xml:space="preserve"> PrognosisObservation</t>
  </si>
  <si>
    <t xml:space="preserve"> LongitudinalCareWoundObservation</t>
  </si>
  <si>
    <t xml:space="preserve"> ExternalDocumentReference</t>
  </si>
  <si>
    <t xml:space="preserve"> SubstanceAdministeredAct</t>
  </si>
  <si>
    <t xml:space="preserve"> PlannedImmunizationActivity</t>
  </si>
  <si>
    <t xml:space="preserve"> GoalObservation</t>
  </si>
  <si>
    <t xml:space="preserve"> EntryReference</t>
  </si>
  <si>
    <t xml:space="preserve"> DrugMonitoringAct</t>
  </si>
  <si>
    <t xml:space="preserve"> NutritionalStatusObservation</t>
  </si>
  <si>
    <t xml:space="preserve"> SensoryStatus</t>
  </si>
  <si>
    <t xml:space="preserve"> SelfCareActivitiesADLandIADL</t>
  </si>
  <si>
    <t xml:space="preserve"> PlannedCoverage</t>
  </si>
  <si>
    <t xml:space="preserve"> NutritionRecommendation</t>
  </si>
  <si>
    <t xml:space="preserve"> InterventionAct</t>
  </si>
  <si>
    <t xml:space="preserve"> HealthConcernAct</t>
  </si>
  <si>
    <t xml:space="preserve"> WoundMeasurementObservation</t>
  </si>
  <si>
    <t xml:space="preserve"> WoundCharacteristic</t>
  </si>
  <si>
    <t xml:space="preserve"> MedicalEquipmentOrganizer</t>
  </si>
  <si>
    <t xml:space="preserve"> RiskConcernAct</t>
  </si>
  <si>
    <t xml:space="preserve"> NutritionAssessment</t>
  </si>
  <si>
    <t xml:space="preserve"> ReferralAct</t>
  </si>
  <si>
    <t xml:space="preserve"> HandoffCommunicationParticipants</t>
  </si>
  <si>
    <t xml:space="preserve"> PriorityPreference</t>
  </si>
  <si>
    <t xml:space="preserve"> OutcomeObservation</t>
  </si>
  <si>
    <t xml:space="preserve"> CriticalityObservation</t>
  </si>
  <si>
    <t xml:space="preserve"> PlannedInterventionAct</t>
  </si>
  <si>
    <t xml:space="preserve"> MedicationFreeTextSig</t>
  </si>
  <si>
    <t xml:space="preserve"> BirthSexObservation</t>
  </si>
  <si>
    <t xml:space="preserve"> SectionTimeRangeObservation</t>
  </si>
  <si>
    <t xml:space="preserve"> NoteActivity</t>
  </si>
  <si>
    <t xml:space="preserve"> PregnancyIntentionInNextYear</t>
  </si>
  <si>
    <t xml:space="preserve"> BrandNameObservation</t>
  </si>
  <si>
    <t xml:space="preserve"> CatalogNumberObservation</t>
  </si>
  <si>
    <t xml:space="preserve"> CompanyNameObservation</t>
  </si>
  <si>
    <t xml:space="preserve"> DeviceIdentifierObservation</t>
  </si>
  <si>
    <t xml:space="preserve"> ImplantableDeviceStatusObservation</t>
  </si>
  <si>
    <t xml:space="preserve"> DistinctIdentificationCodeObservation</t>
  </si>
  <si>
    <t xml:space="preserve"> ExpirationDateObservation</t>
  </si>
  <si>
    <t xml:space="preserve"> UDIOrganizer</t>
  </si>
  <si>
    <t xml:space="preserve"> LatexSafetyObservation</t>
  </si>
  <si>
    <t xml:space="preserve"> LotOrBatchNumberObservation</t>
  </si>
  <si>
    <t xml:space="preserve"> ManufacturingDateObservation</t>
  </si>
  <si>
    <t xml:space="preserve"> ModelNumberObservation</t>
  </si>
  <si>
    <t xml:space="preserve"> MRISafetyObservation</t>
  </si>
  <si>
    <t xml:space="preserve"> SerialNumberObservation</t>
  </si>
  <si>
    <t xml:space="preserve"> SpecimenCollectionProcedure</t>
  </si>
  <si>
    <t xml:space="preserve"> SpecimenConditionObservation</t>
  </si>
  <si>
    <t xml:space="preserve"> CareTeamOrganizer</t>
  </si>
  <si>
    <t xml:space="preserve"> CareTeamMemberAct</t>
  </si>
  <si>
    <t xml:space="preserve"> CareTeamTypeObservation</t>
  </si>
  <si>
    <t xml:space="preserve"> CareTeamMemberScheduleObservation</t>
  </si>
  <si>
    <t xml:space="preserve"> SexualOrientationObservation</t>
  </si>
  <si>
    <t xml:space="preserve"> DateOfDiagnosisAct</t>
  </si>
  <si>
    <t xml:space="preserve"> BasicOccupationObservation</t>
  </si>
  <si>
    <t xml:space="preserve"> BasicIndustryObservation</t>
  </si>
  <si>
    <t xml:space="preserve"> DisabilityStatusObservation</t>
  </si>
  <si>
    <t xml:space="preserve"> TribalAffiliationObservation</t>
  </si>
  <si>
    <t xml:space="preserve"> SexObservation</t>
  </si>
  <si>
    <t xml:space="preserve"> MedicationAdherence</t>
  </si>
  <si>
    <t xml:space="preserve"> CareExperiencePreference</t>
  </si>
  <si>
    <t xml:space="preserve"> TreatmentInterventionPreference</t>
  </si>
  <si>
    <t xml:space="preserve"> SmokingStatus</t>
  </si>
  <si>
    <t xml:space="preserve"> AverageBloodPressureOrganizer</t>
  </si>
  <si>
    <t xml:space="preserve"> SexParameterForClinicalUseObservation</t>
  </si>
  <si>
    <t xml:space="preserve"> InterpreterNeededObservation</t>
  </si>
  <si>
    <t xml:space="preserve"> AgeRangeObservation</t>
  </si>
  <si>
    <t xml:space="preserve"> CarePlanAct</t>
  </si>
  <si>
    <t xml:space="preserve"> Reason</t>
  </si>
  <si>
    <t xml:space="preserve"> SubstanceOrDeviceAllergyIntoleranceObservation</t>
  </si>
  <si>
    <t xml:space="preserve"> GenderIdentityObservation</t>
  </si>
  <si>
    <t xml:space="preserve"> AuthorParticipation</t>
  </si>
  <si>
    <t xml:space="preserve"> USRealmPatientNamePTNUSFIELDED</t>
  </si>
  <si>
    <t xml:space="preserve"> USRealmPersonNamePNUSFIELDED</t>
  </si>
  <si>
    <t xml:space="preserve"> USRealmAddress</t>
  </si>
  <si>
    <t xml:space="preserve"> USRealmDateTimeInterval</t>
  </si>
  <si>
    <t xml:space="preserve"> USRealmDateTime</t>
  </si>
  <si>
    <t xml:space="preserve"> ProvenanceAuthorParticipation</t>
  </si>
  <si>
    <t xml:space="preserve"> ProvenanceAssemblerParticipation</t>
  </si>
  <si>
    <t xml:space="preserve"> RelatedPersonRelationshipAndNameParticipant</t>
  </si>
  <si>
    <t xml:space="preserve"> InstructionActivity</t>
  </si>
  <si>
    <t xml:space="preserve"> SmokingStatusMeaningfulUse</t>
  </si>
  <si>
    <t xml:space="preserve"> TobaccoUse</t>
  </si>
  <si>
    <t xml:space="preserve"> AdvanceDirectiveOrganizer</t>
  </si>
  <si>
    <t xml:space="preserve">StructureDefinition-USRealmHeader.html </t>
  </si>
  <si>
    <t xml:space="preserve">StructureDefinition-ContinuityofCareDocumentCCD.html </t>
  </si>
  <si>
    <t xml:space="preserve">StructureDefinition-HistoryandPhysical.html </t>
  </si>
  <si>
    <t xml:space="preserve">StructureDefinition-ConsultationNote.html </t>
  </si>
  <si>
    <t xml:space="preserve">StructureDefinition-ProcedureNote.html </t>
  </si>
  <si>
    <t xml:space="preserve">StructureDefinition-OperativeNote.html </t>
  </si>
  <si>
    <t xml:space="preserve">StructureDefinition-DischargeSummary.html </t>
  </si>
  <si>
    <t xml:space="preserve">StructureDefinition-ProgressNote.html </t>
  </si>
  <si>
    <t xml:space="preserve">StructureDefinition-UnstructuredDocument.html </t>
  </si>
  <si>
    <t xml:space="preserve">StructureDefinition-TransferSummary.html </t>
  </si>
  <si>
    <t xml:space="preserve">StructureDefinition-ReferralNote.html </t>
  </si>
  <si>
    <t xml:space="preserve">StructureDefinition-CarePlan.html </t>
  </si>
  <si>
    <t xml:space="preserve">StructureDefinition-USRealmHeaderforPatientGeneratedDocument.html </t>
  </si>
  <si>
    <t xml:space="preserve">StructureDefinition-ChiefComplaintSection.html </t>
  </si>
  <si>
    <t xml:space="preserve">StructureDefinition-ReasonforReferralSection.html </t>
  </si>
  <si>
    <t xml:space="preserve">StructureDefinition-HistoryofPresentIllnessSection.html </t>
  </si>
  <si>
    <t xml:space="preserve">StructureDefinition-HospitalCourseSection.html </t>
  </si>
  <si>
    <t xml:space="preserve">StructureDefinition-ReviewofSystemsSection.html </t>
  </si>
  <si>
    <t xml:space="preserve">StructureDefinition-HospitalDischargePhysicalSection.html </t>
  </si>
  <si>
    <t xml:space="preserve">StructureDefinition-GeneralStatusSection.html </t>
  </si>
  <si>
    <t xml:space="preserve">StructureDefinition-PhysicalExamSection.html </t>
  </si>
  <si>
    <t xml:space="preserve">StructureDefinition-OperativeNoteFluidsSection.html </t>
  </si>
  <si>
    <t xml:space="preserve">StructureDefinition-SurgicalDrainsSection.html </t>
  </si>
  <si>
    <t xml:space="preserve">StructureDefinition-OperativeNoteSurgicalProcedureSection.html </t>
  </si>
  <si>
    <t xml:space="preserve">StructureDefinition-ProcedureEstimatedBloodLossSection.html </t>
  </si>
  <si>
    <t xml:space="preserve">StructureDefinition-ProcedureDispositionSection.html </t>
  </si>
  <si>
    <t xml:space="preserve">StructureDefinition-ObjectiveSection.html </t>
  </si>
  <si>
    <t xml:space="preserve">StructureDefinition-SubjectiveSection.html </t>
  </si>
  <si>
    <t xml:space="preserve">StructureDefinition-ActivitiesSection.html </t>
  </si>
  <si>
    <t xml:space="preserve">StructureDefinition-MedicationsSection.html </t>
  </si>
  <si>
    <t xml:space="preserve">StructureDefinition-ImmunizationsSection.html </t>
  </si>
  <si>
    <t xml:space="preserve">StructureDefinition-ResultsSection.html </t>
  </si>
  <si>
    <t xml:space="preserve">StructureDefinition-VitalSignsSection.html </t>
  </si>
  <si>
    <t xml:space="preserve">StructureDefinition-ProblemSection.html </t>
  </si>
  <si>
    <t xml:space="preserve">StructureDefinition-AllergiesAndIntolerancesSection.html </t>
  </si>
  <si>
    <t xml:space="preserve">StructureDefinition-ProceduresSection.html </t>
  </si>
  <si>
    <t xml:space="preserve">StructureDefinition-AssessmentSection.html </t>
  </si>
  <si>
    <t xml:space="preserve">StructureDefinition-AssessmentandPlanSection.html </t>
  </si>
  <si>
    <t xml:space="preserve">StructureDefinition-PlanofTreatmentSection.html </t>
  </si>
  <si>
    <t xml:space="preserve">StructureDefinition-DischargeMedicationsSection.html </t>
  </si>
  <si>
    <t xml:space="preserve">StructureDefinition-ReasonforVisitSection.html </t>
  </si>
  <si>
    <t xml:space="preserve">StructureDefinition-ChiefComplaintandReasonforVisitSection.html </t>
  </si>
  <si>
    <t xml:space="preserve">StructureDefinition-FunctionalStatusSection.html </t>
  </si>
  <si>
    <t xml:space="preserve">StructureDefinition-FamilyHistorySection.html </t>
  </si>
  <si>
    <t xml:space="preserve">StructureDefinition-HospitalDischargeStudiesSummarySection.html </t>
  </si>
  <si>
    <t xml:space="preserve">StructureDefinition-SocialHistorySection.html </t>
  </si>
  <si>
    <t xml:space="preserve">StructureDefinition-PayersSection.html </t>
  </si>
  <si>
    <t xml:space="preserve">StructureDefinition-PastMedicalHistory.html </t>
  </si>
  <si>
    <t xml:space="preserve">StructureDefinition-AdvanceDirectivesSection.html </t>
  </si>
  <si>
    <t xml:space="preserve">StructureDefinition-EncountersSection.html </t>
  </si>
  <si>
    <t xml:space="preserve">StructureDefinition-MedicalEquipmentSection.html </t>
  </si>
  <si>
    <t xml:space="preserve">StructureDefinition-DischargeDiagnosisSection.html </t>
  </si>
  <si>
    <t xml:space="preserve">StructureDefinition-AnesthesiaSection.html </t>
  </si>
  <si>
    <t xml:space="preserve">StructureDefinition-ProcedureDescriptionSection.html </t>
  </si>
  <si>
    <t xml:space="preserve">StructureDefinition-ProcedureFindingsSection.html </t>
  </si>
  <si>
    <t xml:space="preserve">StructureDefinition-ProcedureIndicationsSection.html </t>
  </si>
  <si>
    <t xml:space="preserve">StructureDefinition-PlannedProcedureSection.html </t>
  </si>
  <si>
    <t xml:space="preserve">StructureDefinition-ProcedureSpecimensTakenSection.html </t>
  </si>
  <si>
    <t xml:space="preserve">StructureDefinition-PreoperativeDiagnosisSection.html </t>
  </si>
  <si>
    <t xml:space="preserve">StructureDefinition-PostoperativeDiagnosisSection.html </t>
  </si>
  <si>
    <t xml:space="preserve">StructureDefinition-PostprocedureDiagnosisSection.html </t>
  </si>
  <si>
    <t xml:space="preserve">StructureDefinition-ComplicationsSection.html </t>
  </si>
  <si>
    <t xml:space="preserve">StructureDefinition-MedicationsAdministeredSection.html </t>
  </si>
  <si>
    <t xml:space="preserve">StructureDefinition-MedicalGeneralHistorySection.html </t>
  </si>
  <si>
    <t xml:space="preserve">StructureDefinition-ProcedureImplantsSection.html </t>
  </si>
  <si>
    <t xml:space="preserve">StructureDefinition-HospitalDischargeInstructionsSection.html </t>
  </si>
  <si>
    <t xml:space="preserve">StructureDefinition-HospitalConsultationsSection.html </t>
  </si>
  <si>
    <t xml:space="preserve">StructureDefinition-AdmissionDiagnosisSection.html </t>
  </si>
  <si>
    <t xml:space="preserve">StructureDefinition-AdmissionMedicationsSectionEntriesOptional.html </t>
  </si>
  <si>
    <t xml:space="preserve">StructureDefinition-InstructionsSection.html </t>
  </si>
  <si>
    <t xml:space="preserve">StructureDefinition-MentalStatusSection.html </t>
  </si>
  <si>
    <t xml:space="preserve">StructureDefinition-NutritionSection.html </t>
  </si>
  <si>
    <t xml:space="preserve">StructureDefinition-HealthConcernsSection.html </t>
  </si>
  <si>
    <t xml:space="preserve">StructureDefinition-GoalsSection.html </t>
  </si>
  <si>
    <t xml:space="preserve">StructureDefinition-OutcomesSection.html </t>
  </si>
  <si>
    <t xml:space="preserve">StructureDefinition-CourseofCareSection.html </t>
  </si>
  <si>
    <t xml:space="preserve">StructureDefinition-NotesSection.html </t>
  </si>
  <si>
    <t xml:space="preserve">StructureDefinition-CareTeamsSection.html </t>
  </si>
  <si>
    <t xml:space="preserve">StructureDefinition-IndividualPronounObservation.html </t>
  </si>
  <si>
    <t xml:space="preserve">StructureDefinition-AuthorizationActivity.html </t>
  </si>
  <si>
    <t xml:space="preserve">StructureDefinition-AdvanceDirectiveObservation.html </t>
  </si>
  <si>
    <t xml:space="preserve">StructureDefinition-EstimatedDateofDelivery.html </t>
  </si>
  <si>
    <t xml:space="preserve">StructureDefinition-PregnancyStatusObservation.html </t>
  </si>
  <si>
    <t xml:space="preserve">StructureDefinition-ResultOrganizer.html </t>
  </si>
  <si>
    <t xml:space="preserve">StructureDefinition-ResultObservation.html </t>
  </si>
  <si>
    <t xml:space="preserve">StructureDefinition-ProblemConcernAct.html </t>
  </si>
  <si>
    <t xml:space="preserve">StructureDefinition-ProblemObservation.html </t>
  </si>
  <si>
    <t xml:space="preserve">StructureDefinition-HealthStatusObservation.html </t>
  </si>
  <si>
    <t xml:space="preserve">StructureDefinition-ProblemStatus.html </t>
  </si>
  <si>
    <t xml:space="preserve">StructureDefinition-AllergyIntoleranceObservation.html </t>
  </si>
  <si>
    <t xml:space="preserve">StructureDefinition-SeverityObservation.html </t>
  </si>
  <si>
    <t xml:space="preserve">StructureDefinition-ReactionObservation.html </t>
  </si>
  <si>
    <t xml:space="preserve">StructureDefinition-ProcedureActivityProcedure.html </t>
  </si>
  <si>
    <t xml:space="preserve">StructureDefinition-MedicationActivity.html </t>
  </si>
  <si>
    <t xml:space="preserve">StructureDefinition-MedicationSupplyOrder.html </t>
  </si>
  <si>
    <t xml:space="preserve">StructureDefinition-MedicationDispense.html </t>
  </si>
  <si>
    <t xml:space="preserve">StructureDefinition-Indication.html </t>
  </si>
  <si>
    <t xml:space="preserve">StructureDefinition-MedicationInformation.html </t>
  </si>
  <si>
    <t xml:space="preserve">StructureDefinition-DrugVehicle.html </t>
  </si>
  <si>
    <t xml:space="preserve">StructureDefinition-PreconditionforSubstanceAdministration.html </t>
  </si>
  <si>
    <t xml:space="preserve">StructureDefinition-VitalSignsOrganizer.html </t>
  </si>
  <si>
    <t xml:space="preserve">StructureDefinition-VitalSignObservation.html </t>
  </si>
  <si>
    <t xml:space="preserve">StructureDefinition-AllergyStatusObservation.html </t>
  </si>
  <si>
    <t xml:space="preserve">StructureDefinition-AllergyConcernAct.html </t>
  </si>
  <si>
    <t xml:space="preserve">StructureDefinition-AgeObservation.html </t>
  </si>
  <si>
    <t xml:space="preserve">StructureDefinition-ServiceDeliveryLocation.html </t>
  </si>
  <si>
    <t xml:space="preserve">StructureDefinition-HospitalDischargeDiagnosis.html </t>
  </si>
  <si>
    <t xml:space="preserve">StructureDefinition-HospitalAdmissionDiagnosis.html </t>
  </si>
  <si>
    <t xml:space="preserve">StructureDefinition-DischargeMedication.html </t>
  </si>
  <si>
    <t xml:space="preserve">StructureDefinition-AdmissionMedication.html </t>
  </si>
  <si>
    <t xml:space="preserve">StructureDefinition-ProductInstance.html </t>
  </si>
  <si>
    <t xml:space="preserve">StructureDefinition-SocialHistoryObservation.html </t>
  </si>
  <si>
    <t xml:space="preserve">StructureDefinition-PlannedEncounter.html </t>
  </si>
  <si>
    <t xml:space="preserve">StructureDefinition-PlannedProcedure.html </t>
  </si>
  <si>
    <t xml:space="preserve">StructureDefinition-PlannedMedicationActivity.html </t>
  </si>
  <si>
    <t xml:space="preserve">StructureDefinition-PlannedSupply.html </t>
  </si>
  <si>
    <t xml:space="preserve">StructureDefinition-FamilyHistoryOrganizer.html </t>
  </si>
  <si>
    <t xml:space="preserve">StructureDefinition-FamilyHistoryObservation.html </t>
  </si>
  <si>
    <t xml:space="preserve">StructureDefinition-FamilyHistoryDeathObservation.html </t>
  </si>
  <si>
    <t xml:space="preserve">StructureDefinition-EncounterActivity.html </t>
  </si>
  <si>
    <t xml:space="preserve">StructureDefinition-NonMedicinalSupplyActivity.html </t>
  </si>
  <si>
    <t xml:space="preserve">StructureDefinition-PostprocedureDiagnosis.html </t>
  </si>
  <si>
    <t xml:space="preserve">StructureDefinition-ImmunizationActivity.html </t>
  </si>
  <si>
    <t xml:space="preserve">StructureDefinition-ImmunizationNotGivenReason.html </t>
  </si>
  <si>
    <t xml:space="preserve">StructureDefinition-ImmunizationMedicationInformation.html </t>
  </si>
  <si>
    <t xml:space="preserve">StructureDefinition-CoverageActivity.html </t>
  </si>
  <si>
    <t xml:space="preserve">StructureDefinition-PolicyActivity.html </t>
  </si>
  <si>
    <t xml:space="preserve">StructureDefinition-CommentActivity.html </t>
  </si>
  <si>
    <t xml:space="preserve">StructureDefinition-PreoperativeDiagnosis.html </t>
  </si>
  <si>
    <t xml:space="preserve">StructureDefinition-FunctionalStatusOrganizer.html </t>
  </si>
  <si>
    <t xml:space="preserve">StructureDefinition-FunctionalStatusObservation.html </t>
  </si>
  <si>
    <t xml:space="preserve">StructureDefinition-AssessmentScaleObservation.html </t>
  </si>
  <si>
    <t xml:space="preserve">StructureDefinition-CaregiverCharacteristics.html </t>
  </si>
  <si>
    <t xml:space="preserve">StructureDefinition-MentalStatusObservation.html </t>
  </si>
  <si>
    <t xml:space="preserve">StructureDefinition-MentalStatusOrganizer.html </t>
  </si>
  <si>
    <t xml:space="preserve">StructureDefinition-NumberofPressureUlcersObservation.html </t>
  </si>
  <si>
    <t xml:space="preserve">StructureDefinition-HighestPressureUlcerStage.html </t>
  </si>
  <si>
    <t xml:space="preserve">StructureDefinition-DeceasedObservation.html </t>
  </si>
  <si>
    <t xml:space="preserve">StructureDefinition-EncounterDiagnosis.html </t>
  </si>
  <si>
    <t xml:space="preserve">StructureDefinition-AssessmentScaleSupportingObservation.html </t>
  </si>
  <si>
    <t xml:space="preserve">StructureDefinition-CharacteristicsofHomeEnvironment.html </t>
  </si>
  <si>
    <t xml:space="preserve">StructureDefinition-ProgressTowardGoalObservation.html </t>
  </si>
  <si>
    <t xml:space="preserve">StructureDefinition-CulturalandReligiousObservation.html </t>
  </si>
  <si>
    <t xml:space="preserve">StructureDefinition-PrognosisObservation.html </t>
  </si>
  <si>
    <t xml:space="preserve">StructureDefinition-LongitudinalCareWoundObservation.html </t>
  </si>
  <si>
    <t xml:space="preserve">StructureDefinition-ExternalDocumentReference.html </t>
  </si>
  <si>
    <t xml:space="preserve">StructureDefinition-SubstanceAdministeredAct.html </t>
  </si>
  <si>
    <t xml:space="preserve">StructureDefinition-PlannedImmunizationActivity.html </t>
  </si>
  <si>
    <t xml:space="preserve">StructureDefinition-GoalObservation.html </t>
  </si>
  <si>
    <t xml:space="preserve">StructureDefinition-EntryReference.html </t>
  </si>
  <si>
    <t xml:space="preserve">StructureDefinition-DrugMonitoringAct.html </t>
  </si>
  <si>
    <t xml:space="preserve">StructureDefinition-NutritionalStatusObservation.html </t>
  </si>
  <si>
    <t xml:space="preserve">StructureDefinition-SensoryStatus.html </t>
  </si>
  <si>
    <t xml:space="preserve">StructureDefinition-SelfCareActivitiesADLandIADL.html </t>
  </si>
  <si>
    <t xml:space="preserve">StructureDefinition-PlannedCoverage.html </t>
  </si>
  <si>
    <t xml:space="preserve">StructureDefinition-NutritionRecommendation.html </t>
  </si>
  <si>
    <t xml:space="preserve">StructureDefinition-InterventionAct.html </t>
  </si>
  <si>
    <t xml:space="preserve">StructureDefinition-HealthConcernAct.html </t>
  </si>
  <si>
    <t xml:space="preserve">StructureDefinition-WoundMeasurementObservation.html </t>
  </si>
  <si>
    <t xml:space="preserve">StructureDefinition-WoundCharacteristic.html </t>
  </si>
  <si>
    <t xml:space="preserve">StructureDefinition-MedicalEquipmentOrganizer.html </t>
  </si>
  <si>
    <t xml:space="preserve">StructureDefinition-RiskConcernAct.html </t>
  </si>
  <si>
    <t xml:space="preserve">StructureDefinition-NutritionAssessment.html </t>
  </si>
  <si>
    <t xml:space="preserve">StructureDefinition-ReferralAct.html </t>
  </si>
  <si>
    <t xml:space="preserve">StructureDefinition-HandoffCommunicationParticipants.html </t>
  </si>
  <si>
    <t xml:space="preserve">StructureDefinition-PriorityPreference.html </t>
  </si>
  <si>
    <t xml:space="preserve">StructureDefinition-OutcomeObservation.html </t>
  </si>
  <si>
    <t xml:space="preserve">StructureDefinition-CriticalityObservation.html </t>
  </si>
  <si>
    <t xml:space="preserve">StructureDefinition-PlannedInterventionAct.html </t>
  </si>
  <si>
    <t xml:space="preserve">StructureDefinition-MedicationFreeTextSig.html </t>
  </si>
  <si>
    <t xml:space="preserve">StructureDefinition-BirthSexObservation.html </t>
  </si>
  <si>
    <t xml:space="preserve">StructureDefinition-SectionTimeRangeObservation.html </t>
  </si>
  <si>
    <t xml:space="preserve">StructureDefinition-NoteActivity.html </t>
  </si>
  <si>
    <t xml:space="preserve">StructureDefinition-PregnancyIntentionInNextYear.html </t>
  </si>
  <si>
    <t xml:space="preserve">StructureDefinition-BrandNameObservation.html </t>
  </si>
  <si>
    <t xml:space="preserve">StructureDefinition-CatalogNumberObservation.html </t>
  </si>
  <si>
    <t xml:space="preserve">StructureDefinition-CompanyNameObservation.html </t>
  </si>
  <si>
    <t xml:space="preserve">StructureDefinition-DeviceIdentifierObservation.html </t>
  </si>
  <si>
    <t xml:space="preserve">StructureDefinition-ImplantableDeviceStatusObservation.html </t>
  </si>
  <si>
    <t xml:space="preserve">StructureDefinition-DistinctIdentificationCodeObservation.html </t>
  </si>
  <si>
    <t xml:space="preserve">StructureDefinition-ExpirationDateObservation.html </t>
  </si>
  <si>
    <t xml:space="preserve">StructureDefinition-UDIOrganizer.html </t>
  </si>
  <si>
    <t xml:space="preserve">StructureDefinition-LatexSafetyObservation.html </t>
  </si>
  <si>
    <t xml:space="preserve">StructureDefinition-LotOrBatchNumberObservation.html </t>
  </si>
  <si>
    <t xml:space="preserve">StructureDefinition-ManufacturingDateObservation.html </t>
  </si>
  <si>
    <t xml:space="preserve">StructureDefinition-ModelNumberObservation.html </t>
  </si>
  <si>
    <t xml:space="preserve">StructureDefinition-MRISafetyObservation.html </t>
  </si>
  <si>
    <t xml:space="preserve">StructureDefinition-SerialNumberObservation.html </t>
  </si>
  <si>
    <t xml:space="preserve">StructureDefinition-SpecimenCollectionProcedure.html </t>
  </si>
  <si>
    <t xml:space="preserve">StructureDefinition-SpecimenConditionObservation.html </t>
  </si>
  <si>
    <t xml:space="preserve">StructureDefinition-CareTeamOrganizer.html </t>
  </si>
  <si>
    <t xml:space="preserve">StructureDefinition-CareTeamMemberAct.html </t>
  </si>
  <si>
    <t xml:space="preserve">StructureDefinition-CareTeamTypeObservation.html </t>
  </si>
  <si>
    <t xml:space="preserve">StructureDefinition-CareTeamMemberScheduleObservation.html </t>
  </si>
  <si>
    <t xml:space="preserve">StructureDefinition-SexualOrientationObservation.html </t>
  </si>
  <si>
    <t xml:space="preserve">StructureDefinition-DateOfDiagnosisAct.html </t>
  </si>
  <si>
    <t xml:space="preserve">StructureDefinition-BasicOccupationObservation.html </t>
  </si>
  <si>
    <t xml:space="preserve">StructureDefinition-BasicIndustryObservation.html </t>
  </si>
  <si>
    <t xml:space="preserve">StructureDefinition-DisabilityStatusObservation.html </t>
  </si>
  <si>
    <t xml:space="preserve">StructureDefinition-TribalAffiliationObservation.html </t>
  </si>
  <si>
    <t xml:space="preserve">StructureDefinition-SexObservation.html </t>
  </si>
  <si>
    <t xml:space="preserve">StructureDefinition-MedicationAdherence.html </t>
  </si>
  <si>
    <t xml:space="preserve">StructureDefinition-CareExperiencePreference.html </t>
  </si>
  <si>
    <t xml:space="preserve">StructureDefinition-TreatmentInterventionPreference.html </t>
  </si>
  <si>
    <t xml:space="preserve">StructureDefinition-SmokingStatus.html </t>
  </si>
  <si>
    <t xml:space="preserve">StructureDefinition-AverageBloodPressureOrganizer.html </t>
  </si>
  <si>
    <t xml:space="preserve">StructureDefinition-SexParameterForClinicalUseObservation.html </t>
  </si>
  <si>
    <t xml:space="preserve">StructureDefinition-InterpreterNeededObservation.html </t>
  </si>
  <si>
    <t xml:space="preserve">StructureDefinition-AgeRangeObservation.html </t>
  </si>
  <si>
    <t xml:space="preserve">StructureDefinition-CarePlanAct.html </t>
  </si>
  <si>
    <t xml:space="preserve">StructureDefinition-Reason.html </t>
  </si>
  <si>
    <t xml:space="preserve">StructureDefinition-SubstanceOrDeviceAllergyIntoleranceObservation.html </t>
  </si>
  <si>
    <t xml:space="preserve">StructureDefinition-GenderIdentityObservation.html </t>
  </si>
  <si>
    <t xml:space="preserve">StructureDefinition-AuthorParticipation.html </t>
  </si>
  <si>
    <t xml:space="preserve">StructureDefinition-USRealmPatientNamePTNUSFIELDED.html </t>
  </si>
  <si>
    <t xml:space="preserve">StructureDefinition-USRealmPersonNamePNUSFIELDED.html </t>
  </si>
  <si>
    <t xml:space="preserve">StructureDefinition-USRealmAddress.html </t>
  </si>
  <si>
    <t xml:space="preserve">StructureDefinition-USRealmDateTimeInterval.html </t>
  </si>
  <si>
    <t xml:space="preserve">StructureDefinition-USRealmDateTime.html </t>
  </si>
  <si>
    <t xml:space="preserve">StructureDefinition-ProvenanceAuthorParticipation.html </t>
  </si>
  <si>
    <t xml:space="preserve">StructureDefinition-ProvenanceAssemblerParticipation.html </t>
  </si>
  <si>
    <t xml:space="preserve">StructureDefinition-RelatedPersonRelationshipAndNameParticipant.html </t>
  </si>
  <si>
    <t xml:space="preserve">StructureDefinition-InstructionActivity.html </t>
  </si>
  <si>
    <t xml:space="preserve">StructureDefinition-SmokingStatusMeaningfulUse.html </t>
  </si>
  <si>
    <t xml:space="preserve">StructureDefinition-TobaccoUse.html </t>
  </si>
  <si>
    <t xml:space="preserve">StructureDefinition-AdvanceDirectiveOrganizer.html </t>
  </si>
  <si>
    <t>new</t>
  </si>
  <si>
    <t>old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</si>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</sst>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B8F1-7950-4AA8-967E-3171435864B2}">
  <dimension ref="A1:C252"/>
  <sheetViews>
    <sheetView workbookViewId="0">
      <selection activeCell="D2" sqref="D2"/>
    </sheetView>
  </sheetViews>
  <sheetFormatPr defaultRowHeight="15" x14ac:dyDescent="0.25"/>
  <cols>
    <col min="1" max="1" width="65" bestFit="1" customWidth="1"/>
    <col min="2" max="2" width="14.85546875" bestFit="1" customWidth="1"/>
    <col min="3" max="3" width="31.42578125" bestFit="1" customWidth="1"/>
  </cols>
  <sheetData>
    <row r="1" spans="1:3" x14ac:dyDescent="0.25">
      <c r="A1" s="1" t="s">
        <v>827</v>
      </c>
      <c r="B1" s="1" t="s">
        <v>828</v>
      </c>
      <c r="C1" s="1" t="s">
        <v>829</v>
      </c>
    </row>
    <row r="2" spans="1:3" x14ac:dyDescent="0.25">
      <c r="A2" t="s">
        <v>830</v>
      </c>
      <c r="B2" t="s">
        <v>831</v>
      </c>
      <c r="C2" t="s">
        <v>647</v>
      </c>
    </row>
    <row r="3" spans="1:3" x14ac:dyDescent="0.25">
      <c r="A3" t="s">
        <v>832</v>
      </c>
      <c r="B3" t="s">
        <v>831</v>
      </c>
      <c r="C3" t="s">
        <v>674</v>
      </c>
    </row>
    <row r="4" spans="1:3" x14ac:dyDescent="0.25">
      <c r="A4" t="s">
        <v>833</v>
      </c>
      <c r="B4" t="s">
        <v>831</v>
      </c>
      <c r="C4" t="s">
        <v>659</v>
      </c>
    </row>
    <row r="5" spans="1:3" x14ac:dyDescent="0.25">
      <c r="A5" t="s">
        <v>834</v>
      </c>
      <c r="B5" t="s">
        <v>831</v>
      </c>
      <c r="C5" t="s">
        <v>835</v>
      </c>
    </row>
    <row r="6" spans="1:3" x14ac:dyDescent="0.25">
      <c r="A6" t="s">
        <v>836</v>
      </c>
      <c r="B6" t="s">
        <v>831</v>
      </c>
      <c r="C6" t="s">
        <v>693</v>
      </c>
    </row>
    <row r="7" spans="1:3" x14ac:dyDescent="0.25">
      <c r="A7" t="s">
        <v>837</v>
      </c>
      <c r="B7" t="s">
        <v>831</v>
      </c>
      <c r="C7" t="s">
        <v>724</v>
      </c>
    </row>
    <row r="8" spans="1:3" x14ac:dyDescent="0.25">
      <c r="A8" t="s">
        <v>838</v>
      </c>
      <c r="B8" t="s">
        <v>831</v>
      </c>
      <c r="C8" t="s">
        <v>767</v>
      </c>
    </row>
    <row r="9" spans="1:3" x14ac:dyDescent="0.25">
      <c r="A9" t="s">
        <v>839</v>
      </c>
      <c r="B9" t="s">
        <v>831</v>
      </c>
      <c r="C9" t="s">
        <v>796</v>
      </c>
    </row>
    <row r="10" spans="1:3" x14ac:dyDescent="0.25">
      <c r="A10" t="s">
        <v>840</v>
      </c>
      <c r="B10" t="s">
        <v>831</v>
      </c>
      <c r="C10" t="s">
        <v>798</v>
      </c>
    </row>
    <row r="11" spans="1:3" x14ac:dyDescent="0.25">
      <c r="A11" t="s">
        <v>841</v>
      </c>
      <c r="B11" t="s">
        <v>831</v>
      </c>
      <c r="C11" t="s">
        <v>805</v>
      </c>
    </row>
    <row r="12" spans="1:3" x14ac:dyDescent="0.25">
      <c r="A12" t="s">
        <v>842</v>
      </c>
      <c r="B12" t="s">
        <v>831</v>
      </c>
      <c r="C12" t="s">
        <v>820</v>
      </c>
    </row>
    <row r="13" spans="1:3" x14ac:dyDescent="0.25">
      <c r="A13" t="s">
        <v>843</v>
      </c>
      <c r="B13" t="s">
        <v>831</v>
      </c>
      <c r="C13" t="s">
        <v>844</v>
      </c>
    </row>
    <row r="14" spans="1:3" x14ac:dyDescent="0.25">
      <c r="A14" t="s">
        <v>845</v>
      </c>
      <c r="B14" t="s">
        <v>831</v>
      </c>
      <c r="C14" t="s">
        <v>646</v>
      </c>
    </row>
    <row r="15" spans="1:3" x14ac:dyDescent="0.25">
      <c r="A15" t="s">
        <v>846</v>
      </c>
      <c r="B15" t="s">
        <v>831</v>
      </c>
      <c r="C15" t="s">
        <v>776</v>
      </c>
    </row>
    <row r="16" spans="1:3" x14ac:dyDescent="0.25">
      <c r="A16" t="s">
        <v>847</v>
      </c>
      <c r="B16" t="s">
        <v>848</v>
      </c>
      <c r="C16" t="s">
        <v>611</v>
      </c>
    </row>
    <row r="17" spans="1:3" x14ac:dyDescent="0.25">
      <c r="A17" t="s">
        <v>849</v>
      </c>
      <c r="B17" t="s">
        <v>848</v>
      </c>
      <c r="C17" t="s">
        <v>850</v>
      </c>
    </row>
    <row r="18" spans="1:3" x14ac:dyDescent="0.25">
      <c r="A18" t="s">
        <v>851</v>
      </c>
      <c r="B18" t="s">
        <v>848</v>
      </c>
      <c r="C18" t="s">
        <v>852</v>
      </c>
    </row>
    <row r="19" spans="1:3" x14ac:dyDescent="0.25">
      <c r="A19" t="s">
        <v>853</v>
      </c>
      <c r="B19" t="s">
        <v>848</v>
      </c>
      <c r="C19" t="s">
        <v>622</v>
      </c>
    </row>
    <row r="20" spans="1:3" x14ac:dyDescent="0.25">
      <c r="A20" t="s">
        <v>854</v>
      </c>
      <c r="B20" t="s">
        <v>848</v>
      </c>
      <c r="C20" t="s">
        <v>855</v>
      </c>
    </row>
    <row r="21" spans="1:3" x14ac:dyDescent="0.25">
      <c r="A21" t="s">
        <v>856</v>
      </c>
      <c r="B21" t="s">
        <v>848</v>
      </c>
      <c r="C21" t="s">
        <v>624</v>
      </c>
    </row>
    <row r="22" spans="1:3" x14ac:dyDescent="0.25">
      <c r="A22" t="s">
        <v>857</v>
      </c>
      <c r="B22" t="s">
        <v>848</v>
      </c>
      <c r="C22" t="s">
        <v>631</v>
      </c>
    </row>
    <row r="23" spans="1:3" x14ac:dyDescent="0.25">
      <c r="A23" t="s">
        <v>858</v>
      </c>
      <c r="B23" t="s">
        <v>848</v>
      </c>
      <c r="C23" t="s">
        <v>633</v>
      </c>
    </row>
    <row r="24" spans="1:3" x14ac:dyDescent="0.25">
      <c r="A24" t="s">
        <v>859</v>
      </c>
      <c r="B24" t="s">
        <v>848</v>
      </c>
      <c r="C24" t="s">
        <v>637</v>
      </c>
    </row>
    <row r="25" spans="1:3" x14ac:dyDescent="0.25">
      <c r="A25" t="s">
        <v>860</v>
      </c>
      <c r="B25" t="s">
        <v>848</v>
      </c>
      <c r="C25" t="s">
        <v>656</v>
      </c>
    </row>
    <row r="26" spans="1:3" x14ac:dyDescent="0.25">
      <c r="A26" t="s">
        <v>861</v>
      </c>
      <c r="B26" t="s">
        <v>848</v>
      </c>
      <c r="C26" t="s">
        <v>668</v>
      </c>
    </row>
    <row r="27" spans="1:3" x14ac:dyDescent="0.25">
      <c r="A27" t="s">
        <v>862</v>
      </c>
      <c r="B27" t="s">
        <v>848</v>
      </c>
      <c r="C27" t="s">
        <v>669</v>
      </c>
    </row>
    <row r="28" spans="1:3" x14ac:dyDescent="0.25">
      <c r="A28" t="s">
        <v>863</v>
      </c>
      <c r="B28" t="s">
        <v>848</v>
      </c>
      <c r="C28" t="s">
        <v>673</v>
      </c>
    </row>
    <row r="29" spans="1:3" x14ac:dyDescent="0.25">
      <c r="A29" t="s">
        <v>864</v>
      </c>
      <c r="B29" t="s">
        <v>848</v>
      </c>
      <c r="C29" t="s">
        <v>678</v>
      </c>
    </row>
    <row r="30" spans="1:3" x14ac:dyDescent="0.25">
      <c r="A30" t="s">
        <v>865</v>
      </c>
      <c r="B30" t="s">
        <v>848</v>
      </c>
      <c r="C30" t="s">
        <v>866</v>
      </c>
    </row>
    <row r="31" spans="1:3" x14ac:dyDescent="0.25">
      <c r="A31" t="s">
        <v>867</v>
      </c>
      <c r="B31" t="s">
        <v>848</v>
      </c>
      <c r="C31" t="s">
        <v>690</v>
      </c>
    </row>
    <row r="32" spans="1:3" x14ac:dyDescent="0.25">
      <c r="A32" t="s">
        <v>868</v>
      </c>
      <c r="B32" t="s">
        <v>848</v>
      </c>
      <c r="C32" t="s">
        <v>869</v>
      </c>
    </row>
    <row r="33" spans="1:3" x14ac:dyDescent="0.25">
      <c r="A33" t="s">
        <v>870</v>
      </c>
      <c r="B33" t="s">
        <v>848</v>
      </c>
      <c r="C33" t="s">
        <v>871</v>
      </c>
    </row>
    <row r="34" spans="1:3" x14ac:dyDescent="0.25">
      <c r="A34" t="s">
        <v>872</v>
      </c>
      <c r="B34" t="s">
        <v>848</v>
      </c>
      <c r="C34" t="s">
        <v>692</v>
      </c>
    </row>
    <row r="35" spans="1:3" x14ac:dyDescent="0.25">
      <c r="A35" t="s">
        <v>873</v>
      </c>
      <c r="B35" t="s">
        <v>848</v>
      </c>
      <c r="C35" t="s">
        <v>874</v>
      </c>
    </row>
    <row r="36" spans="1:3" x14ac:dyDescent="0.25">
      <c r="A36" t="s">
        <v>875</v>
      </c>
      <c r="B36" t="s">
        <v>848</v>
      </c>
      <c r="C36" t="s">
        <v>661</v>
      </c>
    </row>
    <row r="37" spans="1:3" x14ac:dyDescent="0.25">
      <c r="A37" t="s">
        <v>876</v>
      </c>
      <c r="B37" t="s">
        <v>848</v>
      </c>
      <c r="C37" t="s">
        <v>710</v>
      </c>
    </row>
    <row r="38" spans="1:3" x14ac:dyDescent="0.25">
      <c r="A38" t="s">
        <v>877</v>
      </c>
      <c r="B38" t="s">
        <v>848</v>
      </c>
      <c r="C38" t="s">
        <v>878</v>
      </c>
    </row>
    <row r="39" spans="1:3" x14ac:dyDescent="0.25">
      <c r="A39" t="s">
        <v>879</v>
      </c>
      <c r="B39" t="s">
        <v>848</v>
      </c>
      <c r="C39" t="s">
        <v>880</v>
      </c>
    </row>
    <row r="40" spans="1:3" x14ac:dyDescent="0.25">
      <c r="A40" t="s">
        <v>881</v>
      </c>
      <c r="B40" t="s">
        <v>848</v>
      </c>
      <c r="C40" t="s">
        <v>714</v>
      </c>
    </row>
    <row r="41" spans="1:3" x14ac:dyDescent="0.25">
      <c r="A41" t="s">
        <v>882</v>
      </c>
      <c r="B41" t="s">
        <v>848</v>
      </c>
      <c r="C41" t="s">
        <v>717</v>
      </c>
    </row>
    <row r="42" spans="1:3" x14ac:dyDescent="0.25">
      <c r="A42" t="s">
        <v>883</v>
      </c>
      <c r="B42" t="s">
        <v>848</v>
      </c>
      <c r="C42" t="s">
        <v>649</v>
      </c>
    </row>
    <row r="43" spans="1:3" x14ac:dyDescent="0.25">
      <c r="A43" t="s">
        <v>884</v>
      </c>
      <c r="B43" t="s">
        <v>848</v>
      </c>
      <c r="C43" t="s">
        <v>648</v>
      </c>
    </row>
    <row r="44" spans="1:3" x14ac:dyDescent="0.25">
      <c r="A44" t="s">
        <v>885</v>
      </c>
      <c r="B44" t="s">
        <v>848</v>
      </c>
      <c r="C44" t="s">
        <v>650</v>
      </c>
    </row>
    <row r="45" spans="1:3" x14ac:dyDescent="0.25">
      <c r="A45" t="s">
        <v>886</v>
      </c>
      <c r="B45" t="s">
        <v>848</v>
      </c>
      <c r="C45" t="s">
        <v>675</v>
      </c>
    </row>
    <row r="46" spans="1:3" x14ac:dyDescent="0.25">
      <c r="A46" t="s">
        <v>887</v>
      </c>
      <c r="B46" t="s">
        <v>848</v>
      </c>
      <c r="C46" t="s">
        <v>696</v>
      </c>
    </row>
    <row r="47" spans="1:3" x14ac:dyDescent="0.25">
      <c r="A47" t="s">
        <v>888</v>
      </c>
      <c r="B47" t="s">
        <v>848</v>
      </c>
      <c r="C47" t="s">
        <v>694</v>
      </c>
    </row>
    <row r="48" spans="1:3" x14ac:dyDescent="0.25">
      <c r="A48" t="s">
        <v>889</v>
      </c>
      <c r="B48" t="s">
        <v>848</v>
      </c>
      <c r="C48" t="s">
        <v>727</v>
      </c>
    </row>
    <row r="49" spans="1:3" x14ac:dyDescent="0.25">
      <c r="A49" t="s">
        <v>890</v>
      </c>
      <c r="B49" t="s">
        <v>848</v>
      </c>
      <c r="C49" t="s">
        <v>728</v>
      </c>
    </row>
    <row r="50" spans="1:3" x14ac:dyDescent="0.25">
      <c r="A50" t="s">
        <v>891</v>
      </c>
      <c r="B50" t="s">
        <v>848</v>
      </c>
      <c r="C50" t="s">
        <v>729</v>
      </c>
    </row>
    <row r="51" spans="1:3" x14ac:dyDescent="0.25">
      <c r="A51" t="s">
        <v>892</v>
      </c>
      <c r="B51" t="s">
        <v>848</v>
      </c>
      <c r="C51" t="s">
        <v>893</v>
      </c>
    </row>
    <row r="52" spans="1:3" x14ac:dyDescent="0.25">
      <c r="A52" t="s">
        <v>894</v>
      </c>
      <c r="B52" t="s">
        <v>848</v>
      </c>
      <c r="C52" t="s">
        <v>733</v>
      </c>
    </row>
    <row r="53" spans="1:3" x14ac:dyDescent="0.25">
      <c r="A53" t="s">
        <v>895</v>
      </c>
      <c r="B53" t="s">
        <v>848</v>
      </c>
      <c r="C53" t="s">
        <v>896</v>
      </c>
    </row>
    <row r="54" spans="1:3" x14ac:dyDescent="0.25">
      <c r="A54" t="s">
        <v>897</v>
      </c>
      <c r="B54" t="s">
        <v>848</v>
      </c>
      <c r="C54" t="s">
        <v>736</v>
      </c>
    </row>
    <row r="55" spans="1:3" x14ac:dyDescent="0.25">
      <c r="A55" t="s">
        <v>898</v>
      </c>
      <c r="B55" t="s">
        <v>848</v>
      </c>
      <c r="C55" t="s">
        <v>899</v>
      </c>
    </row>
    <row r="56" spans="1:3" x14ac:dyDescent="0.25">
      <c r="A56" t="s">
        <v>900</v>
      </c>
      <c r="B56" t="s">
        <v>848</v>
      </c>
      <c r="C56" t="s">
        <v>901</v>
      </c>
    </row>
    <row r="57" spans="1:3" x14ac:dyDescent="0.25">
      <c r="A57" t="s">
        <v>902</v>
      </c>
      <c r="B57" t="s">
        <v>848</v>
      </c>
      <c r="C57" t="s">
        <v>745</v>
      </c>
    </row>
    <row r="58" spans="1:3" x14ac:dyDescent="0.25">
      <c r="A58" t="s">
        <v>903</v>
      </c>
      <c r="B58" t="s">
        <v>848</v>
      </c>
      <c r="C58" t="s">
        <v>751</v>
      </c>
    </row>
    <row r="59" spans="1:3" x14ac:dyDescent="0.25">
      <c r="A59" t="s">
        <v>904</v>
      </c>
      <c r="B59" t="s">
        <v>848</v>
      </c>
      <c r="C59" t="s">
        <v>905</v>
      </c>
    </row>
    <row r="60" spans="1:3" x14ac:dyDescent="0.25">
      <c r="A60" t="s">
        <v>906</v>
      </c>
      <c r="B60" t="s">
        <v>848</v>
      </c>
      <c r="C60" t="s">
        <v>664</v>
      </c>
    </row>
    <row r="61" spans="1:3" x14ac:dyDescent="0.25">
      <c r="A61" t="s">
        <v>907</v>
      </c>
      <c r="B61" t="s">
        <v>848</v>
      </c>
      <c r="C61" t="s">
        <v>754</v>
      </c>
    </row>
    <row r="62" spans="1:3" x14ac:dyDescent="0.25">
      <c r="A62" t="s">
        <v>908</v>
      </c>
      <c r="B62" t="s">
        <v>848</v>
      </c>
      <c r="C62" t="s">
        <v>759</v>
      </c>
    </row>
    <row r="63" spans="1:3" x14ac:dyDescent="0.25">
      <c r="A63" t="s">
        <v>909</v>
      </c>
      <c r="B63" t="s">
        <v>848</v>
      </c>
      <c r="C63" t="s">
        <v>763</v>
      </c>
    </row>
    <row r="64" spans="1:3" x14ac:dyDescent="0.25">
      <c r="A64" t="s">
        <v>910</v>
      </c>
      <c r="B64" t="s">
        <v>848</v>
      </c>
      <c r="C64" t="s">
        <v>765</v>
      </c>
    </row>
    <row r="65" spans="1:3" x14ac:dyDescent="0.25">
      <c r="A65" t="s">
        <v>911</v>
      </c>
      <c r="B65" t="s">
        <v>848</v>
      </c>
      <c r="C65" t="s">
        <v>912</v>
      </c>
    </row>
    <row r="66" spans="1:3" x14ac:dyDescent="0.25">
      <c r="A66" t="s">
        <v>913</v>
      </c>
      <c r="B66" t="s">
        <v>848</v>
      </c>
      <c r="C66" t="s">
        <v>766</v>
      </c>
    </row>
    <row r="67" spans="1:3" x14ac:dyDescent="0.25">
      <c r="A67" t="s">
        <v>914</v>
      </c>
      <c r="B67" t="s">
        <v>848</v>
      </c>
      <c r="C67" t="s">
        <v>774</v>
      </c>
    </row>
    <row r="68" spans="1:3" x14ac:dyDescent="0.25">
      <c r="A68" t="s">
        <v>915</v>
      </c>
      <c r="B68" t="s">
        <v>848</v>
      </c>
      <c r="C68" t="s">
        <v>725</v>
      </c>
    </row>
    <row r="69" spans="1:3" x14ac:dyDescent="0.25">
      <c r="A69" t="s">
        <v>916</v>
      </c>
      <c r="B69" t="s">
        <v>848</v>
      </c>
      <c r="C69" t="s">
        <v>777</v>
      </c>
    </row>
    <row r="70" spans="1:3" x14ac:dyDescent="0.25">
      <c r="A70" t="s">
        <v>917</v>
      </c>
      <c r="B70" t="s">
        <v>848</v>
      </c>
      <c r="C70" t="s">
        <v>677</v>
      </c>
    </row>
    <row r="71" spans="1:3" x14ac:dyDescent="0.25">
      <c r="A71" t="s">
        <v>918</v>
      </c>
      <c r="B71" t="s">
        <v>848</v>
      </c>
      <c r="C71" t="s">
        <v>695</v>
      </c>
    </row>
    <row r="72" spans="1:3" x14ac:dyDescent="0.25">
      <c r="A72" t="s">
        <v>919</v>
      </c>
      <c r="B72" t="s">
        <v>848</v>
      </c>
      <c r="C72" t="s">
        <v>783</v>
      </c>
    </row>
    <row r="73" spans="1:3" x14ac:dyDescent="0.25">
      <c r="A73" t="s">
        <v>920</v>
      </c>
      <c r="B73" t="s">
        <v>848</v>
      </c>
      <c r="C73" t="s">
        <v>773</v>
      </c>
    </row>
    <row r="74" spans="1:3" x14ac:dyDescent="0.25">
      <c r="A74" t="s">
        <v>921</v>
      </c>
      <c r="B74" t="s">
        <v>848</v>
      </c>
      <c r="C74" t="s">
        <v>788</v>
      </c>
    </row>
    <row r="75" spans="1:3" x14ac:dyDescent="0.25">
      <c r="A75" t="s">
        <v>922</v>
      </c>
      <c r="B75" t="s">
        <v>848</v>
      </c>
      <c r="C75" t="s">
        <v>768</v>
      </c>
    </row>
    <row r="76" spans="1:3" x14ac:dyDescent="0.25">
      <c r="A76" t="s">
        <v>923</v>
      </c>
      <c r="B76" t="s">
        <v>848</v>
      </c>
      <c r="C76" t="s">
        <v>924</v>
      </c>
    </row>
    <row r="77" spans="1:3" x14ac:dyDescent="0.25">
      <c r="A77" t="s">
        <v>925</v>
      </c>
      <c r="B77" t="s">
        <v>848</v>
      </c>
      <c r="C77" t="s">
        <v>663</v>
      </c>
    </row>
    <row r="78" spans="1:3" x14ac:dyDescent="0.25">
      <c r="A78" t="s">
        <v>926</v>
      </c>
      <c r="B78" t="s">
        <v>848</v>
      </c>
      <c r="C78" t="s">
        <v>772</v>
      </c>
    </row>
    <row r="79" spans="1:3" x14ac:dyDescent="0.25">
      <c r="A79" t="s">
        <v>927</v>
      </c>
      <c r="B79" t="s">
        <v>848</v>
      </c>
      <c r="C79" t="s">
        <v>793</v>
      </c>
    </row>
    <row r="80" spans="1:3" x14ac:dyDescent="0.25">
      <c r="A80" t="s">
        <v>928</v>
      </c>
      <c r="B80" t="s">
        <v>848</v>
      </c>
      <c r="C80" t="s">
        <v>769</v>
      </c>
    </row>
    <row r="81" spans="1:3" x14ac:dyDescent="0.25">
      <c r="A81" t="s">
        <v>929</v>
      </c>
      <c r="B81" t="s">
        <v>848</v>
      </c>
      <c r="C81" t="s">
        <v>770</v>
      </c>
    </row>
    <row r="82" spans="1:3" x14ac:dyDescent="0.25">
      <c r="A82" t="s">
        <v>930</v>
      </c>
      <c r="B82" t="s">
        <v>848</v>
      </c>
      <c r="C82" t="s">
        <v>794</v>
      </c>
    </row>
    <row r="83" spans="1:3" x14ac:dyDescent="0.25">
      <c r="A83" t="s">
        <v>931</v>
      </c>
      <c r="B83" t="s">
        <v>848</v>
      </c>
      <c r="C83" t="s">
        <v>795</v>
      </c>
    </row>
    <row r="84" spans="1:3" x14ac:dyDescent="0.25">
      <c r="A84" t="s">
        <v>932</v>
      </c>
      <c r="B84" t="s">
        <v>848</v>
      </c>
      <c r="C84" t="s">
        <v>771</v>
      </c>
    </row>
    <row r="85" spans="1:3" x14ac:dyDescent="0.25">
      <c r="A85" t="s">
        <v>933</v>
      </c>
      <c r="B85" t="s">
        <v>848</v>
      </c>
      <c r="C85" t="s">
        <v>934</v>
      </c>
    </row>
    <row r="86" spans="1:3" x14ac:dyDescent="0.25">
      <c r="A86" t="s">
        <v>935</v>
      </c>
      <c r="B86" t="s">
        <v>848</v>
      </c>
      <c r="C86" t="s">
        <v>697</v>
      </c>
    </row>
    <row r="87" spans="1:3" x14ac:dyDescent="0.25">
      <c r="A87" t="s">
        <v>936</v>
      </c>
      <c r="B87" t="s">
        <v>848</v>
      </c>
      <c r="C87" t="s">
        <v>803</v>
      </c>
    </row>
    <row r="88" spans="1:3" x14ac:dyDescent="0.25">
      <c r="A88" t="s">
        <v>937</v>
      </c>
      <c r="B88" t="s">
        <v>848</v>
      </c>
      <c r="C88" t="s">
        <v>676</v>
      </c>
    </row>
    <row r="89" spans="1:3" x14ac:dyDescent="0.25">
      <c r="A89" t="s">
        <v>938</v>
      </c>
      <c r="B89" t="s">
        <v>848</v>
      </c>
      <c r="C89" t="s">
        <v>939</v>
      </c>
    </row>
    <row r="90" spans="1:3" x14ac:dyDescent="0.25">
      <c r="A90" t="s">
        <v>940</v>
      </c>
      <c r="B90" t="s">
        <v>848</v>
      </c>
      <c r="C90" t="s">
        <v>665</v>
      </c>
    </row>
    <row r="91" spans="1:3" x14ac:dyDescent="0.25">
      <c r="A91" t="s">
        <v>941</v>
      </c>
      <c r="B91" t="s">
        <v>848</v>
      </c>
      <c r="C91" t="s">
        <v>726</v>
      </c>
    </row>
    <row r="92" spans="1:3" x14ac:dyDescent="0.25">
      <c r="A92" t="s">
        <v>942</v>
      </c>
      <c r="B92" t="s">
        <v>848</v>
      </c>
      <c r="C92" t="s">
        <v>662</v>
      </c>
    </row>
    <row r="93" spans="1:3" x14ac:dyDescent="0.25">
      <c r="A93" t="s">
        <v>943</v>
      </c>
      <c r="B93" t="s">
        <v>848</v>
      </c>
      <c r="C93" t="s">
        <v>817</v>
      </c>
    </row>
    <row r="94" spans="1:3" x14ac:dyDescent="0.25">
      <c r="A94" t="s">
        <v>944</v>
      </c>
      <c r="B94" t="s">
        <v>848</v>
      </c>
      <c r="C94" t="s">
        <v>945</v>
      </c>
    </row>
    <row r="95" spans="1:3" x14ac:dyDescent="0.25">
      <c r="A95" t="s">
        <v>946</v>
      </c>
      <c r="B95" t="s">
        <v>848</v>
      </c>
      <c r="C95" t="s">
        <v>819</v>
      </c>
    </row>
    <row r="96" spans="1:3" x14ac:dyDescent="0.25">
      <c r="A96" t="s">
        <v>947</v>
      </c>
      <c r="B96" t="s">
        <v>848</v>
      </c>
      <c r="C96" t="s">
        <v>948</v>
      </c>
    </row>
    <row r="97" spans="1:3" x14ac:dyDescent="0.25">
      <c r="A97" t="s">
        <v>949</v>
      </c>
      <c r="B97" t="s">
        <v>848</v>
      </c>
      <c r="C97" t="s">
        <v>666</v>
      </c>
    </row>
    <row r="98" spans="1:3" x14ac:dyDescent="0.25">
      <c r="A98" t="s">
        <v>950</v>
      </c>
      <c r="B98" t="s">
        <v>951</v>
      </c>
      <c r="C98" t="s">
        <v>614</v>
      </c>
    </row>
    <row r="99" spans="1:3" x14ac:dyDescent="0.25">
      <c r="A99" t="s">
        <v>952</v>
      </c>
      <c r="B99" t="s">
        <v>951</v>
      </c>
      <c r="C99" t="s">
        <v>619</v>
      </c>
    </row>
    <row r="100" spans="1:3" x14ac:dyDescent="0.25">
      <c r="A100" t="s">
        <v>953</v>
      </c>
      <c r="B100" t="s">
        <v>951</v>
      </c>
      <c r="C100" t="s">
        <v>954</v>
      </c>
    </row>
    <row r="101" spans="1:3" x14ac:dyDescent="0.25">
      <c r="A101" t="s">
        <v>955</v>
      </c>
      <c r="B101" t="s">
        <v>951</v>
      </c>
      <c r="C101" t="s">
        <v>623</v>
      </c>
    </row>
    <row r="102" spans="1:3" x14ac:dyDescent="0.25">
      <c r="A102" t="s">
        <v>956</v>
      </c>
      <c r="B102" t="s">
        <v>951</v>
      </c>
      <c r="C102" t="s">
        <v>626</v>
      </c>
    </row>
    <row r="103" spans="1:3" x14ac:dyDescent="0.25">
      <c r="A103" t="s">
        <v>957</v>
      </c>
      <c r="B103" t="s">
        <v>951</v>
      </c>
      <c r="C103" t="s">
        <v>625</v>
      </c>
    </row>
    <row r="104" spans="1:3" x14ac:dyDescent="0.25">
      <c r="A104" t="s">
        <v>958</v>
      </c>
      <c r="B104" t="s">
        <v>951</v>
      </c>
      <c r="C104" t="s">
        <v>959</v>
      </c>
    </row>
    <row r="105" spans="1:3" x14ac:dyDescent="0.25">
      <c r="A105" t="s">
        <v>960</v>
      </c>
      <c r="B105" t="s">
        <v>951</v>
      </c>
      <c r="C105" t="s">
        <v>635</v>
      </c>
    </row>
    <row r="106" spans="1:3" x14ac:dyDescent="0.25">
      <c r="A106" t="s">
        <v>961</v>
      </c>
      <c r="B106" t="s">
        <v>951</v>
      </c>
      <c r="C106" t="s">
        <v>636</v>
      </c>
    </row>
    <row r="107" spans="1:3" x14ac:dyDescent="0.25">
      <c r="A107" t="s">
        <v>962</v>
      </c>
      <c r="B107" t="s">
        <v>951</v>
      </c>
      <c r="C107" t="s">
        <v>638</v>
      </c>
    </row>
    <row r="108" spans="1:3" x14ac:dyDescent="0.25">
      <c r="A108" t="s">
        <v>963</v>
      </c>
      <c r="B108" t="s">
        <v>951</v>
      </c>
      <c r="C108" t="s">
        <v>642</v>
      </c>
    </row>
    <row r="109" spans="1:3" x14ac:dyDescent="0.25">
      <c r="A109" t="s">
        <v>964</v>
      </c>
      <c r="B109" t="s">
        <v>951</v>
      </c>
      <c r="C109" t="s">
        <v>643</v>
      </c>
    </row>
    <row r="110" spans="1:3" x14ac:dyDescent="0.25">
      <c r="A110" t="s">
        <v>965</v>
      </c>
      <c r="B110" t="s">
        <v>951</v>
      </c>
      <c r="C110" t="s">
        <v>644</v>
      </c>
    </row>
    <row r="111" spans="1:3" x14ac:dyDescent="0.25">
      <c r="A111" t="s">
        <v>966</v>
      </c>
      <c r="B111" t="s">
        <v>951</v>
      </c>
      <c r="C111" t="s">
        <v>967</v>
      </c>
    </row>
    <row r="112" spans="1:3" x14ac:dyDescent="0.25">
      <c r="A112" t="s">
        <v>968</v>
      </c>
      <c r="B112" t="s">
        <v>951</v>
      </c>
      <c r="C112" t="s">
        <v>645</v>
      </c>
    </row>
    <row r="113" spans="1:3" x14ac:dyDescent="0.25">
      <c r="A113" t="s">
        <v>969</v>
      </c>
      <c r="B113" t="s">
        <v>951</v>
      </c>
      <c r="C113" t="s">
        <v>651</v>
      </c>
    </row>
    <row r="114" spans="1:3" x14ac:dyDescent="0.25">
      <c r="A114" t="s">
        <v>970</v>
      </c>
      <c r="B114" t="s">
        <v>951</v>
      </c>
      <c r="C114" t="s">
        <v>653</v>
      </c>
    </row>
    <row r="115" spans="1:3" x14ac:dyDescent="0.25">
      <c r="A115" t="s">
        <v>971</v>
      </c>
      <c r="B115" t="s">
        <v>951</v>
      </c>
      <c r="C115" t="s">
        <v>654</v>
      </c>
    </row>
    <row r="116" spans="1:3" x14ac:dyDescent="0.25">
      <c r="A116" t="s">
        <v>972</v>
      </c>
      <c r="B116" t="s">
        <v>951</v>
      </c>
      <c r="C116" t="s">
        <v>655</v>
      </c>
    </row>
    <row r="117" spans="1:3" x14ac:dyDescent="0.25">
      <c r="A117" t="s">
        <v>973</v>
      </c>
      <c r="B117" t="s">
        <v>951</v>
      </c>
      <c r="C117" t="s">
        <v>657</v>
      </c>
    </row>
    <row r="118" spans="1:3" x14ac:dyDescent="0.25">
      <c r="A118" t="s">
        <v>974</v>
      </c>
      <c r="B118" t="s">
        <v>951</v>
      </c>
      <c r="C118" t="s">
        <v>658</v>
      </c>
    </row>
    <row r="119" spans="1:3" x14ac:dyDescent="0.25">
      <c r="A119" t="s">
        <v>975</v>
      </c>
      <c r="B119" t="s">
        <v>951</v>
      </c>
      <c r="C119" t="s">
        <v>667</v>
      </c>
    </row>
    <row r="120" spans="1:3" x14ac:dyDescent="0.25">
      <c r="A120" t="s">
        <v>976</v>
      </c>
      <c r="B120" t="s">
        <v>951</v>
      </c>
      <c r="C120" t="s">
        <v>670</v>
      </c>
    </row>
    <row r="121" spans="1:3" x14ac:dyDescent="0.25">
      <c r="A121" t="s">
        <v>977</v>
      </c>
      <c r="B121" t="s">
        <v>951</v>
      </c>
      <c r="C121" t="s">
        <v>978</v>
      </c>
    </row>
    <row r="122" spans="1:3" x14ac:dyDescent="0.25">
      <c r="A122" t="s">
        <v>979</v>
      </c>
      <c r="B122" t="s">
        <v>951</v>
      </c>
      <c r="C122" t="s">
        <v>671</v>
      </c>
    </row>
    <row r="123" spans="1:3" x14ac:dyDescent="0.25">
      <c r="A123" t="s">
        <v>980</v>
      </c>
      <c r="B123" t="s">
        <v>951</v>
      </c>
      <c r="C123" t="s">
        <v>672</v>
      </c>
    </row>
    <row r="124" spans="1:3" x14ac:dyDescent="0.25">
      <c r="A124" t="s">
        <v>981</v>
      </c>
      <c r="B124" t="s">
        <v>951</v>
      </c>
      <c r="C124" t="s">
        <v>679</v>
      </c>
    </row>
    <row r="125" spans="1:3" x14ac:dyDescent="0.25">
      <c r="A125" t="s">
        <v>982</v>
      </c>
      <c r="B125" t="s">
        <v>951</v>
      </c>
      <c r="C125" t="s">
        <v>630</v>
      </c>
    </row>
    <row r="126" spans="1:3" x14ac:dyDescent="0.25">
      <c r="A126" t="s">
        <v>983</v>
      </c>
      <c r="B126" t="s">
        <v>951</v>
      </c>
      <c r="C126" t="s">
        <v>683</v>
      </c>
    </row>
    <row r="127" spans="1:3" x14ac:dyDescent="0.25">
      <c r="A127" t="s">
        <v>984</v>
      </c>
      <c r="B127" t="s">
        <v>951</v>
      </c>
      <c r="C127" t="s">
        <v>684</v>
      </c>
    </row>
    <row r="128" spans="1:3" x14ac:dyDescent="0.25">
      <c r="A128" t="s">
        <v>985</v>
      </c>
      <c r="B128" t="s">
        <v>951</v>
      </c>
      <c r="C128" t="s">
        <v>685</v>
      </c>
    </row>
    <row r="129" spans="1:3" x14ac:dyDescent="0.25">
      <c r="A129" t="s">
        <v>986</v>
      </c>
      <c r="B129" t="s">
        <v>951</v>
      </c>
      <c r="C129" t="s">
        <v>686</v>
      </c>
    </row>
    <row r="130" spans="1:3" x14ac:dyDescent="0.25">
      <c r="A130" t="s">
        <v>987</v>
      </c>
      <c r="B130" t="s">
        <v>951</v>
      </c>
      <c r="C130" t="s">
        <v>689</v>
      </c>
    </row>
    <row r="131" spans="1:3" x14ac:dyDescent="0.25">
      <c r="A131" t="s">
        <v>988</v>
      </c>
      <c r="B131" t="s">
        <v>951</v>
      </c>
      <c r="C131" t="s">
        <v>691</v>
      </c>
    </row>
    <row r="132" spans="1:3" x14ac:dyDescent="0.25">
      <c r="A132" t="s">
        <v>989</v>
      </c>
      <c r="B132" t="s">
        <v>951</v>
      </c>
      <c r="C132" t="s">
        <v>698</v>
      </c>
    </row>
    <row r="133" spans="1:3" x14ac:dyDescent="0.25">
      <c r="A133" t="s">
        <v>990</v>
      </c>
      <c r="B133" t="s">
        <v>951</v>
      </c>
      <c r="C133" t="s">
        <v>699</v>
      </c>
    </row>
    <row r="134" spans="1:3" x14ac:dyDescent="0.25">
      <c r="A134" t="s">
        <v>991</v>
      </c>
      <c r="B134" t="s">
        <v>951</v>
      </c>
      <c r="C134" t="s">
        <v>700</v>
      </c>
    </row>
    <row r="135" spans="1:3" x14ac:dyDescent="0.25">
      <c r="A135" t="s">
        <v>992</v>
      </c>
      <c r="B135" t="s">
        <v>951</v>
      </c>
      <c r="C135" t="s">
        <v>652</v>
      </c>
    </row>
    <row r="136" spans="1:3" x14ac:dyDescent="0.25">
      <c r="A136" t="s">
        <v>993</v>
      </c>
      <c r="B136" t="s">
        <v>951</v>
      </c>
      <c r="C136" t="s">
        <v>703</v>
      </c>
    </row>
    <row r="137" spans="1:3" x14ac:dyDescent="0.25">
      <c r="A137" t="s">
        <v>994</v>
      </c>
      <c r="B137" t="s">
        <v>951</v>
      </c>
      <c r="C137" t="s">
        <v>687</v>
      </c>
    </row>
    <row r="138" spans="1:3" x14ac:dyDescent="0.25">
      <c r="A138" t="s">
        <v>995</v>
      </c>
      <c r="B138" t="s">
        <v>951</v>
      </c>
      <c r="C138" t="s">
        <v>705</v>
      </c>
    </row>
    <row r="139" spans="1:3" x14ac:dyDescent="0.25">
      <c r="A139" t="s">
        <v>996</v>
      </c>
      <c r="B139" t="s">
        <v>951</v>
      </c>
      <c r="C139" t="s">
        <v>823</v>
      </c>
    </row>
    <row r="140" spans="1:3" x14ac:dyDescent="0.25">
      <c r="A140" t="s">
        <v>997</v>
      </c>
      <c r="B140" t="s">
        <v>951</v>
      </c>
      <c r="C140" t="s">
        <v>706</v>
      </c>
    </row>
    <row r="141" spans="1:3" x14ac:dyDescent="0.25">
      <c r="A141" t="s">
        <v>998</v>
      </c>
      <c r="B141" t="s">
        <v>951</v>
      </c>
      <c r="C141" t="s">
        <v>707</v>
      </c>
    </row>
    <row r="142" spans="1:3" x14ac:dyDescent="0.25">
      <c r="A142" t="s">
        <v>999</v>
      </c>
      <c r="B142" t="s">
        <v>951</v>
      </c>
      <c r="C142" t="s">
        <v>708</v>
      </c>
    </row>
    <row r="143" spans="1:3" x14ac:dyDescent="0.25">
      <c r="A143" t="s">
        <v>1000</v>
      </c>
      <c r="B143" t="s">
        <v>951</v>
      </c>
      <c r="C143" t="s">
        <v>709</v>
      </c>
    </row>
    <row r="144" spans="1:3" x14ac:dyDescent="0.25">
      <c r="A144" t="s">
        <v>1001</v>
      </c>
      <c r="B144" t="s">
        <v>951</v>
      </c>
      <c r="C144" t="s">
        <v>711</v>
      </c>
    </row>
    <row r="145" spans="1:3" x14ac:dyDescent="0.25">
      <c r="A145" t="s">
        <v>1002</v>
      </c>
      <c r="B145" t="s">
        <v>951</v>
      </c>
      <c r="C145" t="s">
        <v>712</v>
      </c>
    </row>
    <row r="146" spans="1:3" x14ac:dyDescent="0.25">
      <c r="A146" t="s">
        <v>1003</v>
      </c>
      <c r="B146" t="s">
        <v>951</v>
      </c>
      <c r="C146" t="s">
        <v>1004</v>
      </c>
    </row>
    <row r="147" spans="1:3" x14ac:dyDescent="0.25">
      <c r="A147" t="s">
        <v>1005</v>
      </c>
      <c r="B147" t="s">
        <v>951</v>
      </c>
      <c r="C147" t="s">
        <v>716</v>
      </c>
    </row>
    <row r="148" spans="1:3" x14ac:dyDescent="0.25">
      <c r="A148" t="s">
        <v>1006</v>
      </c>
      <c r="B148" t="s">
        <v>951</v>
      </c>
      <c r="C148" t="s">
        <v>718</v>
      </c>
    </row>
    <row r="149" spans="1:3" x14ac:dyDescent="0.25">
      <c r="A149" t="s">
        <v>1007</v>
      </c>
      <c r="B149" t="s">
        <v>951</v>
      </c>
      <c r="C149" t="s">
        <v>720</v>
      </c>
    </row>
    <row r="150" spans="1:3" x14ac:dyDescent="0.25">
      <c r="A150" t="s">
        <v>1008</v>
      </c>
      <c r="B150" t="s">
        <v>951</v>
      </c>
      <c r="C150" t="s">
        <v>704</v>
      </c>
    </row>
    <row r="151" spans="1:3" x14ac:dyDescent="0.25">
      <c r="A151" t="s">
        <v>1009</v>
      </c>
      <c r="B151" t="s">
        <v>951</v>
      </c>
      <c r="C151" t="s">
        <v>722</v>
      </c>
    </row>
    <row r="152" spans="1:3" x14ac:dyDescent="0.25">
      <c r="A152" t="s">
        <v>1010</v>
      </c>
      <c r="B152" t="s">
        <v>951</v>
      </c>
      <c r="C152" t="s">
        <v>723</v>
      </c>
    </row>
    <row r="153" spans="1:3" x14ac:dyDescent="0.25">
      <c r="A153" t="s">
        <v>1011</v>
      </c>
      <c r="B153" t="s">
        <v>951</v>
      </c>
      <c r="C153" t="s">
        <v>612</v>
      </c>
    </row>
    <row r="154" spans="1:3" x14ac:dyDescent="0.25">
      <c r="A154" t="s">
        <v>1012</v>
      </c>
      <c r="B154" t="s">
        <v>951</v>
      </c>
      <c r="C154" t="s">
        <v>688</v>
      </c>
    </row>
    <row r="155" spans="1:3" x14ac:dyDescent="0.25">
      <c r="A155" t="s">
        <v>1013</v>
      </c>
      <c r="B155" t="s">
        <v>951</v>
      </c>
      <c r="C155" t="s">
        <v>730</v>
      </c>
    </row>
    <row r="156" spans="1:3" x14ac:dyDescent="0.25">
      <c r="A156" t="s">
        <v>1014</v>
      </c>
      <c r="B156" t="s">
        <v>951</v>
      </c>
      <c r="C156" t="s">
        <v>731</v>
      </c>
    </row>
    <row r="157" spans="1:3" x14ac:dyDescent="0.25">
      <c r="A157" t="s">
        <v>1015</v>
      </c>
      <c r="B157" t="s">
        <v>951</v>
      </c>
      <c r="C157" t="s">
        <v>732</v>
      </c>
    </row>
    <row r="158" spans="1:3" x14ac:dyDescent="0.25">
      <c r="A158" t="s">
        <v>1016</v>
      </c>
      <c r="B158" t="s">
        <v>951</v>
      </c>
      <c r="C158" t="s">
        <v>734</v>
      </c>
    </row>
    <row r="159" spans="1:3" x14ac:dyDescent="0.25">
      <c r="A159" t="s">
        <v>1017</v>
      </c>
      <c r="B159" t="s">
        <v>951</v>
      </c>
      <c r="C159" t="s">
        <v>702</v>
      </c>
    </row>
    <row r="160" spans="1:3" x14ac:dyDescent="0.25">
      <c r="A160" t="s">
        <v>1018</v>
      </c>
      <c r="B160" t="s">
        <v>951</v>
      </c>
      <c r="C160" t="s">
        <v>737</v>
      </c>
    </row>
    <row r="161" spans="1:3" x14ac:dyDescent="0.25">
      <c r="A161" t="s">
        <v>1019</v>
      </c>
      <c r="B161" t="s">
        <v>951</v>
      </c>
      <c r="C161" t="s">
        <v>738</v>
      </c>
    </row>
    <row r="162" spans="1:3" x14ac:dyDescent="0.25">
      <c r="A162" t="s">
        <v>1020</v>
      </c>
      <c r="B162" t="s">
        <v>951</v>
      </c>
      <c r="C162" t="s">
        <v>739</v>
      </c>
    </row>
    <row r="163" spans="1:3" x14ac:dyDescent="0.25">
      <c r="A163" t="s">
        <v>1021</v>
      </c>
      <c r="B163" t="s">
        <v>951</v>
      </c>
      <c r="C163" t="s">
        <v>740</v>
      </c>
    </row>
    <row r="164" spans="1:3" x14ac:dyDescent="0.25">
      <c r="A164" t="s">
        <v>1022</v>
      </c>
      <c r="B164" t="s">
        <v>951</v>
      </c>
      <c r="C164" t="s">
        <v>741</v>
      </c>
    </row>
    <row r="165" spans="1:3" x14ac:dyDescent="0.25">
      <c r="A165" t="s">
        <v>1023</v>
      </c>
      <c r="B165" t="s">
        <v>951</v>
      </c>
      <c r="C165" t="s">
        <v>742</v>
      </c>
    </row>
    <row r="166" spans="1:3" x14ac:dyDescent="0.25">
      <c r="A166" t="s">
        <v>1024</v>
      </c>
      <c r="B166" t="s">
        <v>951</v>
      </c>
      <c r="C166" t="s">
        <v>743</v>
      </c>
    </row>
    <row r="167" spans="1:3" x14ac:dyDescent="0.25">
      <c r="A167" t="s">
        <v>1025</v>
      </c>
      <c r="B167" t="s">
        <v>951</v>
      </c>
      <c r="C167" t="s">
        <v>615</v>
      </c>
    </row>
    <row r="168" spans="1:3" x14ac:dyDescent="0.25">
      <c r="A168" t="s">
        <v>1026</v>
      </c>
      <c r="B168" t="s">
        <v>951</v>
      </c>
      <c r="C168" t="s">
        <v>748</v>
      </c>
    </row>
    <row r="169" spans="1:3" x14ac:dyDescent="0.25">
      <c r="A169" t="s">
        <v>1027</v>
      </c>
      <c r="B169" t="s">
        <v>951</v>
      </c>
      <c r="C169" t="s">
        <v>749</v>
      </c>
    </row>
    <row r="170" spans="1:3" x14ac:dyDescent="0.25">
      <c r="A170" t="s">
        <v>1028</v>
      </c>
      <c r="B170" t="s">
        <v>951</v>
      </c>
      <c r="C170" t="s">
        <v>616</v>
      </c>
    </row>
    <row r="171" spans="1:3" x14ac:dyDescent="0.25">
      <c r="A171" t="s">
        <v>1029</v>
      </c>
      <c r="B171" t="s">
        <v>951</v>
      </c>
      <c r="C171" t="s">
        <v>750</v>
      </c>
    </row>
    <row r="172" spans="1:3" x14ac:dyDescent="0.25">
      <c r="A172" t="s">
        <v>1030</v>
      </c>
      <c r="B172" t="s">
        <v>951</v>
      </c>
      <c r="C172" t="s">
        <v>752</v>
      </c>
    </row>
    <row r="173" spans="1:3" x14ac:dyDescent="0.25">
      <c r="A173" t="s">
        <v>1031</v>
      </c>
      <c r="B173" t="s">
        <v>951</v>
      </c>
      <c r="C173" t="s">
        <v>753</v>
      </c>
    </row>
    <row r="174" spans="1:3" x14ac:dyDescent="0.25">
      <c r="A174" t="s">
        <v>1032</v>
      </c>
      <c r="B174" t="s">
        <v>951</v>
      </c>
      <c r="C174" t="s">
        <v>755</v>
      </c>
    </row>
    <row r="175" spans="1:3" x14ac:dyDescent="0.25">
      <c r="A175" t="s">
        <v>1033</v>
      </c>
      <c r="B175" t="s">
        <v>951</v>
      </c>
      <c r="C175" t="s">
        <v>756</v>
      </c>
    </row>
    <row r="176" spans="1:3" x14ac:dyDescent="0.25">
      <c r="A176" t="s">
        <v>1034</v>
      </c>
      <c r="B176" t="s">
        <v>951</v>
      </c>
      <c r="C176" t="s">
        <v>744</v>
      </c>
    </row>
    <row r="177" spans="1:3" x14ac:dyDescent="0.25">
      <c r="A177" t="s">
        <v>1035</v>
      </c>
      <c r="B177" t="s">
        <v>951</v>
      </c>
      <c r="C177" t="s">
        <v>758</v>
      </c>
    </row>
    <row r="178" spans="1:3" x14ac:dyDescent="0.25">
      <c r="A178" t="s">
        <v>1036</v>
      </c>
      <c r="B178" t="s">
        <v>951</v>
      </c>
      <c r="C178" t="s">
        <v>760</v>
      </c>
    </row>
    <row r="179" spans="1:3" x14ac:dyDescent="0.25">
      <c r="A179" t="s">
        <v>1037</v>
      </c>
      <c r="B179" t="s">
        <v>951</v>
      </c>
      <c r="C179" t="s">
        <v>761</v>
      </c>
    </row>
    <row r="180" spans="1:3" x14ac:dyDescent="0.25">
      <c r="A180" t="s">
        <v>1038</v>
      </c>
      <c r="B180" t="s">
        <v>951</v>
      </c>
      <c r="C180" t="s">
        <v>762</v>
      </c>
    </row>
    <row r="181" spans="1:3" x14ac:dyDescent="0.25">
      <c r="A181" t="s">
        <v>1039</v>
      </c>
      <c r="B181" t="s">
        <v>951</v>
      </c>
      <c r="C181" t="s">
        <v>764</v>
      </c>
    </row>
    <row r="182" spans="1:3" x14ac:dyDescent="0.25">
      <c r="A182" t="s">
        <v>1040</v>
      </c>
      <c r="B182" t="s">
        <v>951</v>
      </c>
      <c r="C182" t="s">
        <v>775</v>
      </c>
    </row>
    <row r="183" spans="1:3" x14ac:dyDescent="0.25">
      <c r="A183" t="s">
        <v>1041</v>
      </c>
      <c r="B183" t="s">
        <v>951</v>
      </c>
      <c r="C183" t="s">
        <v>804</v>
      </c>
    </row>
    <row r="184" spans="1:3" x14ac:dyDescent="0.25">
      <c r="A184" t="s">
        <v>1042</v>
      </c>
      <c r="B184" t="s">
        <v>951</v>
      </c>
      <c r="C184" t="s">
        <v>1043</v>
      </c>
    </row>
    <row r="185" spans="1:3" x14ac:dyDescent="0.25">
      <c r="A185" t="s">
        <v>1044</v>
      </c>
      <c r="B185" t="s">
        <v>951</v>
      </c>
      <c r="C185" t="s">
        <v>779</v>
      </c>
    </row>
    <row r="186" spans="1:3" x14ac:dyDescent="0.25">
      <c r="A186" t="s">
        <v>1045</v>
      </c>
      <c r="B186" t="s">
        <v>951</v>
      </c>
      <c r="C186" t="s">
        <v>778</v>
      </c>
    </row>
    <row r="187" spans="1:3" x14ac:dyDescent="0.25">
      <c r="A187" t="s">
        <v>1046</v>
      </c>
      <c r="B187" t="s">
        <v>951</v>
      </c>
      <c r="C187" t="s">
        <v>780</v>
      </c>
    </row>
    <row r="188" spans="1:3" x14ac:dyDescent="0.25">
      <c r="A188" t="s">
        <v>1047</v>
      </c>
      <c r="B188" t="s">
        <v>951</v>
      </c>
      <c r="C188" t="s">
        <v>781</v>
      </c>
    </row>
    <row r="189" spans="1:3" x14ac:dyDescent="0.25">
      <c r="A189" t="s">
        <v>1048</v>
      </c>
      <c r="B189" t="s">
        <v>951</v>
      </c>
      <c r="C189" t="s">
        <v>782</v>
      </c>
    </row>
    <row r="190" spans="1:3" x14ac:dyDescent="0.25">
      <c r="A190" t="s">
        <v>1049</v>
      </c>
      <c r="B190" t="s">
        <v>951</v>
      </c>
      <c r="C190" t="s">
        <v>1050</v>
      </c>
    </row>
    <row r="191" spans="1:3" x14ac:dyDescent="0.25">
      <c r="A191" t="s">
        <v>1051</v>
      </c>
      <c r="B191" t="s">
        <v>951</v>
      </c>
      <c r="C191" t="s">
        <v>634</v>
      </c>
    </row>
    <row r="192" spans="1:3" x14ac:dyDescent="0.25">
      <c r="A192" t="s">
        <v>1052</v>
      </c>
      <c r="B192" t="s">
        <v>951</v>
      </c>
      <c r="C192" t="s">
        <v>784</v>
      </c>
    </row>
    <row r="193" spans="1:3" x14ac:dyDescent="0.25">
      <c r="A193" t="s">
        <v>1053</v>
      </c>
      <c r="B193" t="s">
        <v>951</v>
      </c>
      <c r="C193" t="s">
        <v>680</v>
      </c>
    </row>
    <row r="194" spans="1:3" x14ac:dyDescent="0.25">
      <c r="A194" t="s">
        <v>1054</v>
      </c>
      <c r="B194" t="s">
        <v>951</v>
      </c>
      <c r="C194" t="s">
        <v>787</v>
      </c>
    </row>
    <row r="195" spans="1:3" x14ac:dyDescent="0.25">
      <c r="A195" t="s">
        <v>1055</v>
      </c>
      <c r="B195" t="s">
        <v>951</v>
      </c>
      <c r="C195" t="s">
        <v>789</v>
      </c>
    </row>
    <row r="196" spans="1:3" x14ac:dyDescent="0.25">
      <c r="A196" t="s">
        <v>1056</v>
      </c>
      <c r="B196" t="s">
        <v>951</v>
      </c>
      <c r="C196" t="s">
        <v>790</v>
      </c>
    </row>
    <row r="197" spans="1:3" x14ac:dyDescent="0.25">
      <c r="A197" t="s">
        <v>1057</v>
      </c>
      <c r="B197" t="s">
        <v>951</v>
      </c>
      <c r="C197" t="s">
        <v>791</v>
      </c>
    </row>
    <row r="198" spans="1:3" x14ac:dyDescent="0.25">
      <c r="A198" t="s">
        <v>1058</v>
      </c>
      <c r="B198" t="s">
        <v>951</v>
      </c>
      <c r="C198" t="s">
        <v>792</v>
      </c>
    </row>
    <row r="199" spans="1:3" x14ac:dyDescent="0.25">
      <c r="A199" t="s">
        <v>1059</v>
      </c>
      <c r="B199" t="s">
        <v>951</v>
      </c>
      <c r="C199" t="s">
        <v>1060</v>
      </c>
    </row>
    <row r="200" spans="1:3" x14ac:dyDescent="0.25">
      <c r="A200" t="s">
        <v>1061</v>
      </c>
      <c r="B200" t="s">
        <v>951</v>
      </c>
      <c r="C200" t="s">
        <v>719</v>
      </c>
    </row>
    <row r="201" spans="1:3" x14ac:dyDescent="0.25">
      <c r="A201" t="s">
        <v>1062</v>
      </c>
      <c r="B201" t="s">
        <v>951</v>
      </c>
      <c r="C201" t="s">
        <v>757</v>
      </c>
    </row>
    <row r="202" spans="1:3" x14ac:dyDescent="0.25">
      <c r="A202" t="s">
        <v>1063</v>
      </c>
      <c r="B202" t="s">
        <v>951</v>
      </c>
      <c r="C202" t="s">
        <v>613</v>
      </c>
    </row>
    <row r="203" spans="1:3" x14ac:dyDescent="0.25">
      <c r="A203" t="s">
        <v>1064</v>
      </c>
      <c r="B203" t="s">
        <v>951</v>
      </c>
      <c r="C203" t="s">
        <v>1065</v>
      </c>
    </row>
    <row r="204" spans="1:3" x14ac:dyDescent="0.25">
      <c r="A204" t="s">
        <v>1066</v>
      </c>
      <c r="B204" t="s">
        <v>951</v>
      </c>
      <c r="C204" t="s">
        <v>1067</v>
      </c>
    </row>
    <row r="205" spans="1:3" x14ac:dyDescent="0.25">
      <c r="A205" t="s">
        <v>1068</v>
      </c>
      <c r="B205" t="s">
        <v>951</v>
      </c>
      <c r="C205" t="s">
        <v>1069</v>
      </c>
    </row>
    <row r="206" spans="1:3" x14ac:dyDescent="0.25">
      <c r="A206" t="s">
        <v>1070</v>
      </c>
      <c r="B206" t="s">
        <v>951</v>
      </c>
      <c r="C206" t="s">
        <v>632</v>
      </c>
    </row>
    <row r="207" spans="1:3" x14ac:dyDescent="0.25">
      <c r="A207" t="s">
        <v>1071</v>
      </c>
      <c r="B207" t="s">
        <v>951</v>
      </c>
      <c r="C207" t="s">
        <v>1072</v>
      </c>
    </row>
    <row r="208" spans="1:3" x14ac:dyDescent="0.25">
      <c r="A208" t="s">
        <v>1073</v>
      </c>
      <c r="B208" t="s">
        <v>951</v>
      </c>
      <c r="C208" t="s">
        <v>746</v>
      </c>
    </row>
    <row r="209" spans="1:3" x14ac:dyDescent="0.25">
      <c r="A209" t="s">
        <v>1074</v>
      </c>
      <c r="B209" t="s">
        <v>951</v>
      </c>
      <c r="C209" t="s">
        <v>797</v>
      </c>
    </row>
    <row r="210" spans="1:3" x14ac:dyDescent="0.25">
      <c r="A210" t="s">
        <v>1075</v>
      </c>
      <c r="B210" t="s">
        <v>951</v>
      </c>
      <c r="C210" t="s">
        <v>800</v>
      </c>
    </row>
    <row r="211" spans="1:3" x14ac:dyDescent="0.25">
      <c r="A211" t="s">
        <v>1076</v>
      </c>
      <c r="B211" t="s">
        <v>951</v>
      </c>
      <c r="C211" t="s">
        <v>1077</v>
      </c>
    </row>
    <row r="212" spans="1:3" x14ac:dyDescent="0.25">
      <c r="A212" t="s">
        <v>1078</v>
      </c>
      <c r="B212" t="s">
        <v>951</v>
      </c>
      <c r="C212" t="s">
        <v>1079</v>
      </c>
    </row>
    <row r="213" spans="1:3" x14ac:dyDescent="0.25">
      <c r="A213" t="s">
        <v>1080</v>
      </c>
      <c r="B213" t="s">
        <v>951</v>
      </c>
      <c r="C213" t="s">
        <v>628</v>
      </c>
    </row>
    <row r="214" spans="1:3" x14ac:dyDescent="0.25">
      <c r="A214" t="s">
        <v>1081</v>
      </c>
      <c r="B214" t="s">
        <v>951</v>
      </c>
      <c r="C214" t="s">
        <v>802</v>
      </c>
    </row>
    <row r="215" spans="1:3" x14ac:dyDescent="0.25">
      <c r="A215" t="s">
        <v>1082</v>
      </c>
      <c r="B215" t="s">
        <v>951</v>
      </c>
      <c r="C215" t="s">
        <v>1083</v>
      </c>
    </row>
    <row r="216" spans="1:3" x14ac:dyDescent="0.25">
      <c r="A216" t="s">
        <v>1084</v>
      </c>
      <c r="B216" t="s">
        <v>951</v>
      </c>
      <c r="C216" t="s">
        <v>806</v>
      </c>
    </row>
    <row r="217" spans="1:3" x14ac:dyDescent="0.25">
      <c r="A217" t="s">
        <v>1085</v>
      </c>
      <c r="B217" t="s">
        <v>951</v>
      </c>
      <c r="C217" t="s">
        <v>807</v>
      </c>
    </row>
    <row r="218" spans="1:3" x14ac:dyDescent="0.25">
      <c r="A218" t="s">
        <v>1086</v>
      </c>
      <c r="B218" t="s">
        <v>951</v>
      </c>
      <c r="C218" t="s">
        <v>810</v>
      </c>
    </row>
    <row r="219" spans="1:3" x14ac:dyDescent="0.25">
      <c r="A219" t="s">
        <v>1087</v>
      </c>
      <c r="B219" t="s">
        <v>951</v>
      </c>
      <c r="C219" t="s">
        <v>1088</v>
      </c>
    </row>
    <row r="220" spans="1:3" x14ac:dyDescent="0.25">
      <c r="A220" t="s">
        <v>1089</v>
      </c>
      <c r="B220" t="s">
        <v>951</v>
      </c>
      <c r="C220" t="s">
        <v>713</v>
      </c>
    </row>
    <row r="221" spans="1:3" x14ac:dyDescent="0.25">
      <c r="A221" t="s">
        <v>1090</v>
      </c>
      <c r="B221" t="s">
        <v>951</v>
      </c>
      <c r="C221" t="s">
        <v>715</v>
      </c>
    </row>
    <row r="222" spans="1:3" x14ac:dyDescent="0.25">
      <c r="A222" t="s">
        <v>1091</v>
      </c>
      <c r="B222" t="s">
        <v>951</v>
      </c>
      <c r="C222" t="s">
        <v>812</v>
      </c>
    </row>
    <row r="223" spans="1:3" x14ac:dyDescent="0.25">
      <c r="A223" t="s">
        <v>1092</v>
      </c>
      <c r="B223" t="s">
        <v>951</v>
      </c>
      <c r="C223" t="s">
        <v>1093</v>
      </c>
    </row>
    <row r="224" spans="1:3" x14ac:dyDescent="0.25">
      <c r="A224" t="s">
        <v>1094</v>
      </c>
      <c r="B224" t="s">
        <v>951</v>
      </c>
      <c r="C224" t="s">
        <v>701</v>
      </c>
    </row>
    <row r="225" spans="1:3" x14ac:dyDescent="0.25">
      <c r="A225" t="s">
        <v>1095</v>
      </c>
      <c r="B225" t="s">
        <v>951</v>
      </c>
      <c r="C225" t="s">
        <v>629</v>
      </c>
    </row>
    <row r="226" spans="1:3" x14ac:dyDescent="0.25">
      <c r="A226" t="s">
        <v>1096</v>
      </c>
      <c r="B226" t="s">
        <v>951</v>
      </c>
      <c r="C226" t="s">
        <v>813</v>
      </c>
    </row>
    <row r="227" spans="1:3" x14ac:dyDescent="0.25">
      <c r="A227" t="s">
        <v>1097</v>
      </c>
      <c r="B227" t="s">
        <v>951</v>
      </c>
      <c r="C227" t="s">
        <v>814</v>
      </c>
    </row>
    <row r="228" spans="1:3" x14ac:dyDescent="0.25">
      <c r="A228" t="s">
        <v>1098</v>
      </c>
      <c r="B228" t="s">
        <v>951</v>
      </c>
      <c r="C228" t="s">
        <v>816</v>
      </c>
    </row>
    <row r="229" spans="1:3" x14ac:dyDescent="0.25">
      <c r="A229" t="s">
        <v>1099</v>
      </c>
      <c r="B229" t="s">
        <v>951</v>
      </c>
      <c r="C229" t="s">
        <v>641</v>
      </c>
    </row>
    <row r="230" spans="1:3" x14ac:dyDescent="0.25">
      <c r="A230" t="s">
        <v>1100</v>
      </c>
      <c r="B230" t="s">
        <v>951</v>
      </c>
      <c r="C230" t="s">
        <v>1101</v>
      </c>
    </row>
    <row r="231" spans="1:3" x14ac:dyDescent="0.25">
      <c r="A231" t="s">
        <v>1102</v>
      </c>
      <c r="B231" t="s">
        <v>951</v>
      </c>
      <c r="C231" t="s">
        <v>1103</v>
      </c>
    </row>
    <row r="232" spans="1:3" x14ac:dyDescent="0.25">
      <c r="A232" t="s">
        <v>1104</v>
      </c>
      <c r="B232" t="s">
        <v>951</v>
      </c>
      <c r="C232" t="s">
        <v>818</v>
      </c>
    </row>
    <row r="233" spans="1:3" x14ac:dyDescent="0.25">
      <c r="A233" t="s">
        <v>1105</v>
      </c>
      <c r="B233" t="s">
        <v>951</v>
      </c>
      <c r="C233" t="s">
        <v>627</v>
      </c>
    </row>
    <row r="234" spans="1:3" x14ac:dyDescent="0.25">
      <c r="A234" t="s">
        <v>1106</v>
      </c>
      <c r="B234" t="s">
        <v>951</v>
      </c>
      <c r="C234" t="s">
        <v>1107</v>
      </c>
    </row>
    <row r="235" spans="1:3" x14ac:dyDescent="0.25">
      <c r="A235" t="s">
        <v>1108</v>
      </c>
      <c r="B235" t="s">
        <v>951</v>
      </c>
      <c r="C235" t="s">
        <v>721</v>
      </c>
    </row>
    <row r="236" spans="1:3" x14ac:dyDescent="0.25">
      <c r="A236" t="s">
        <v>1109</v>
      </c>
      <c r="B236" t="s">
        <v>951</v>
      </c>
      <c r="C236" t="s">
        <v>821</v>
      </c>
    </row>
    <row r="237" spans="1:3" x14ac:dyDescent="0.25">
      <c r="A237" t="s">
        <v>1110</v>
      </c>
      <c r="B237" t="s">
        <v>951</v>
      </c>
      <c r="C237" t="s">
        <v>822</v>
      </c>
    </row>
    <row r="238" spans="1:3" x14ac:dyDescent="0.25">
      <c r="A238" t="s">
        <v>1111</v>
      </c>
      <c r="B238" t="s">
        <v>951</v>
      </c>
      <c r="C238" t="s">
        <v>640</v>
      </c>
    </row>
    <row r="239" spans="1:3" x14ac:dyDescent="0.25">
      <c r="A239" t="s">
        <v>1112</v>
      </c>
      <c r="B239" t="s">
        <v>951</v>
      </c>
      <c r="C239" t="s">
        <v>824</v>
      </c>
    </row>
    <row r="240" spans="1:3" x14ac:dyDescent="0.25">
      <c r="A240" t="s">
        <v>1113</v>
      </c>
      <c r="B240" t="s">
        <v>951</v>
      </c>
      <c r="C240" t="s">
        <v>825</v>
      </c>
    </row>
    <row r="241" spans="1:3" x14ac:dyDescent="0.25">
      <c r="A241" t="s">
        <v>1114</v>
      </c>
      <c r="B241" t="s">
        <v>951</v>
      </c>
      <c r="C241" t="s">
        <v>826</v>
      </c>
    </row>
    <row r="242" spans="1:3" x14ac:dyDescent="0.25">
      <c r="A242" t="s">
        <v>1115</v>
      </c>
      <c r="B242" t="s">
        <v>1116</v>
      </c>
      <c r="C242" t="s">
        <v>620</v>
      </c>
    </row>
    <row r="243" spans="1:3" x14ac:dyDescent="0.25">
      <c r="A243" t="s">
        <v>1117</v>
      </c>
      <c r="B243" t="s">
        <v>1116</v>
      </c>
      <c r="C243" t="s">
        <v>1118</v>
      </c>
    </row>
    <row r="244" spans="1:3" x14ac:dyDescent="0.25">
      <c r="A244" t="s">
        <v>1119</v>
      </c>
      <c r="B244" t="s">
        <v>1116</v>
      </c>
      <c r="C244" t="s">
        <v>1120</v>
      </c>
    </row>
    <row r="245" spans="1:3" x14ac:dyDescent="0.25">
      <c r="A245" t="s">
        <v>1121</v>
      </c>
      <c r="B245" t="s">
        <v>1116</v>
      </c>
      <c r="C245" t="s">
        <v>801</v>
      </c>
    </row>
    <row r="246" spans="1:3" x14ac:dyDescent="0.25">
      <c r="A246" t="s">
        <v>1122</v>
      </c>
      <c r="B246" t="s">
        <v>1116</v>
      </c>
      <c r="C246" t="s">
        <v>618</v>
      </c>
    </row>
    <row r="247" spans="1:3" x14ac:dyDescent="0.25">
      <c r="A247" t="s">
        <v>1123</v>
      </c>
      <c r="B247" t="s">
        <v>1116</v>
      </c>
      <c r="C247" t="s">
        <v>660</v>
      </c>
    </row>
    <row r="248" spans="1:3" x14ac:dyDescent="0.25">
      <c r="A248" t="s">
        <v>1124</v>
      </c>
      <c r="B248" t="s">
        <v>1116</v>
      </c>
      <c r="C248" t="s">
        <v>1125</v>
      </c>
    </row>
    <row r="249" spans="1:3" x14ac:dyDescent="0.25">
      <c r="A249" t="s">
        <v>1126</v>
      </c>
      <c r="B249" t="s">
        <v>1116</v>
      </c>
      <c r="C249" t="s">
        <v>1127</v>
      </c>
    </row>
    <row r="250" spans="1:3" x14ac:dyDescent="0.25">
      <c r="A250" t="s">
        <v>1128</v>
      </c>
      <c r="B250" t="s">
        <v>1116</v>
      </c>
      <c r="C250" t="s">
        <v>1129</v>
      </c>
    </row>
    <row r="251" spans="1:3" x14ac:dyDescent="0.25">
      <c r="A251" t="s">
        <v>1130</v>
      </c>
      <c r="B251" t="s">
        <v>1116</v>
      </c>
      <c r="C251" t="s">
        <v>1131</v>
      </c>
    </row>
    <row r="252" spans="1:3" x14ac:dyDescent="0.25">
      <c r="A252" t="s">
        <v>1132</v>
      </c>
      <c r="B252" t="s">
        <v>1116</v>
      </c>
      <c r="C252" t="s">
        <v>1133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40"/>
  <sheetViews>
    <sheetView topLeftCell="A1086" workbookViewId="0">
      <selection activeCell="A589" sqref="A589:A1140"/>
    </sheetView>
  </sheetViews>
  <sheetFormatPr defaultRowHeight="15" x14ac:dyDescent="0.25"/>
  <cols>
    <col min="1" max="1" width="57.42578125" bestFit="1" customWidth="1"/>
    <col min="2" max="2" width="80.85546875" bestFit="1" customWidth="1"/>
    <col min="6" max="6" width="37.28515625" bestFit="1" customWidth="1"/>
    <col min="8" max="8" width="34.5703125" bestFit="1" customWidth="1"/>
    <col min="9" max="9" width="91" bestFit="1" customWidth="1"/>
  </cols>
  <sheetData>
    <row r="2" spans="1:11" x14ac:dyDescent="0.25">
      <c r="A2" t="s">
        <v>1134</v>
      </c>
      <c r="B2" t="s">
        <v>115</v>
      </c>
      <c r="C2">
        <f>FIND("root=",B2,1)</f>
        <v>13</v>
      </c>
      <c r="D2">
        <f>FIND("extension",B2,1)</f>
        <v>52</v>
      </c>
      <c r="E2">
        <f>IF(ISERR(D2),100,D2)</f>
        <v>52</v>
      </c>
      <c r="F2" t="s">
        <v>363</v>
      </c>
      <c r="G2">
        <f>FIND("/",F2,1)</f>
        <v>32</v>
      </c>
      <c r="H2" t="s">
        <v>611</v>
      </c>
      <c r="I2" t="str">
        <f>"https://hl7.org/cda/us/ccda/Binary-"&amp;A2&amp;".html"</f>
        <v>https://hl7.org/cda/us/ccda/Binary-admission-diagnosis-section-example.html</v>
      </c>
      <c r="J2" t="s">
        <v>1356</v>
      </c>
      <c r="K2" t="str">
        <f>"{ file:'"&amp;H2&amp;".html', href:'"&amp;I2&amp;"', text:'"&amp;A2&amp;"' },"</f>
        <v>{ file:'2.16.840.1.113883.10.20.22.2.43.html', href:'https://hl7.org/cda/us/ccda/Binary-admission-diagnosis-section-example.html', text:'admission-diagnosis-section-example' },</v>
      </c>
    </row>
    <row r="3" spans="1:11" x14ac:dyDescent="0.25">
      <c r="A3" t="s">
        <v>1134</v>
      </c>
      <c r="B3" t="s">
        <v>116</v>
      </c>
      <c r="C3">
        <f t="shared" ref="C3:C66" si="0">FIND("root=",B3,1)</f>
        <v>13</v>
      </c>
      <c r="D3">
        <f t="shared" ref="D3:D66" si="1">FIND("extension",B3,1)</f>
        <v>52</v>
      </c>
      <c r="E3">
        <f t="shared" ref="E3:E66" si="2">IF(ISERR(D3),100,D3)</f>
        <v>52</v>
      </c>
      <c r="F3" t="s">
        <v>364</v>
      </c>
      <c r="G3">
        <f t="shared" ref="G3:G66" si="3">FIND("/",F3,1)</f>
        <v>32</v>
      </c>
      <c r="H3" t="s">
        <v>612</v>
      </c>
      <c r="I3" t="str">
        <f t="shared" ref="I3:I66" si="4">"https://hl7.org/cda/us/ccda/Binary-"&amp;A3&amp;".html"</f>
        <v>https://hl7.org/cda/us/ccda/Binary-admission-diagnosis-section-example.html</v>
      </c>
      <c r="J3" t="s">
        <v>1356</v>
      </c>
      <c r="K3" t="str">
        <f t="shared" ref="K3:K66" si="5">"{ file:'"&amp;H3&amp;".html', href:'"&amp;I3&amp;"', text:'"&amp;A3&amp;"' },"</f>
        <v>{ file:'2.16.840.1.113883.10.20.22.4.34.html', href:'https://hl7.org/cda/us/ccda/Binary-admission-diagnosis-section-example.html', text:'admission-diagnosis-section-example' },</v>
      </c>
    </row>
    <row r="4" spans="1:11" x14ac:dyDescent="0.25">
      <c r="A4" t="s">
        <v>1134</v>
      </c>
      <c r="B4" t="s">
        <v>117</v>
      </c>
      <c r="C4">
        <f t="shared" si="0"/>
        <v>13</v>
      </c>
      <c r="D4">
        <f t="shared" si="1"/>
        <v>51</v>
      </c>
      <c r="E4">
        <f t="shared" si="2"/>
        <v>51</v>
      </c>
      <c r="F4" t="s">
        <v>365</v>
      </c>
      <c r="G4">
        <f t="shared" si="3"/>
        <v>31</v>
      </c>
      <c r="H4" t="s">
        <v>613</v>
      </c>
      <c r="I4" t="str">
        <f t="shared" si="4"/>
        <v>https://hl7.org/cda/us/ccda/Binary-admission-diagnosis-section-example.html</v>
      </c>
      <c r="J4" t="s">
        <v>1356</v>
      </c>
      <c r="K4" t="str">
        <f t="shared" si="5"/>
        <v>{ file:'2.16.840.1.113883.10.20.22.4.4.html', href:'https://hl7.org/cda/us/ccda/Binary-admission-diagnosis-section-example.html', text:'admission-diagnosis-section-example' },</v>
      </c>
    </row>
    <row r="5" spans="1:11" x14ac:dyDescent="0.25">
      <c r="A5" t="s">
        <v>1135</v>
      </c>
      <c r="B5" t="s">
        <v>118</v>
      </c>
      <c r="C5">
        <f t="shared" si="0"/>
        <v>13</v>
      </c>
      <c r="D5">
        <f t="shared" si="1"/>
        <v>52</v>
      </c>
      <c r="E5">
        <f t="shared" si="2"/>
        <v>52</v>
      </c>
      <c r="F5" t="s">
        <v>366</v>
      </c>
      <c r="G5">
        <f t="shared" si="3"/>
        <v>32</v>
      </c>
      <c r="H5" t="s">
        <v>614</v>
      </c>
      <c r="I5" t="str">
        <f t="shared" si="4"/>
        <v>https://hl7.org/cda/us/ccda/Binary-admission-medication-example.html</v>
      </c>
      <c r="J5" t="s">
        <v>1357</v>
      </c>
      <c r="K5" t="str">
        <f t="shared" si="5"/>
        <v>{ file:'2.16.840.1.113883.10.20.22.4.36.html', href:'https://hl7.org/cda/us/ccda/Binary-admission-medication-example.html', text:'admission-medication-example' },</v>
      </c>
    </row>
    <row r="6" spans="1:11" x14ac:dyDescent="0.25">
      <c r="A6" t="s">
        <v>1135</v>
      </c>
      <c r="B6" t="s">
        <v>119</v>
      </c>
      <c r="C6">
        <f t="shared" si="0"/>
        <v>13</v>
      </c>
      <c r="D6" t="e">
        <f t="shared" si="1"/>
        <v>#VALUE!</v>
      </c>
      <c r="E6">
        <f t="shared" si="2"/>
        <v>100</v>
      </c>
      <c r="F6" t="s">
        <v>367</v>
      </c>
      <c r="G6">
        <f t="shared" si="3"/>
        <v>32</v>
      </c>
      <c r="H6" t="s">
        <v>615</v>
      </c>
      <c r="I6" t="str">
        <f t="shared" si="4"/>
        <v>https://hl7.org/cda/us/ccda/Binary-admission-medication-example.html</v>
      </c>
      <c r="J6" t="s">
        <v>1357</v>
      </c>
      <c r="K6" t="str">
        <f t="shared" si="5"/>
        <v>{ file:'2.16.840.1.113883.10.20.22.4.16.html', href:'https://hl7.org/cda/us/ccda/Binary-admission-medication-example.html', text:'admission-medication-example' },</v>
      </c>
    </row>
    <row r="7" spans="1:11" x14ac:dyDescent="0.25">
      <c r="A7" t="s">
        <v>1135</v>
      </c>
      <c r="B7" t="s">
        <v>120</v>
      </c>
      <c r="C7">
        <f t="shared" si="0"/>
        <v>13</v>
      </c>
      <c r="D7" t="e">
        <f t="shared" si="1"/>
        <v>#VALUE!</v>
      </c>
      <c r="E7">
        <f t="shared" si="2"/>
        <v>100</v>
      </c>
      <c r="F7" t="s">
        <v>368</v>
      </c>
      <c r="G7">
        <f t="shared" si="3"/>
        <v>32</v>
      </c>
      <c r="H7" t="s">
        <v>616</v>
      </c>
      <c r="I7" t="str">
        <f t="shared" si="4"/>
        <v>https://hl7.org/cda/us/ccda/Binary-admission-medication-example.html</v>
      </c>
      <c r="J7" t="s">
        <v>1357</v>
      </c>
      <c r="K7" t="str">
        <f t="shared" si="5"/>
        <v>{ file:'2.16.840.1.113883.10.20.22.4.23.html', href:'https://hl7.org/cda/us/ccda/Binary-admission-medication-example.html', text:'admission-medication-example' },</v>
      </c>
    </row>
    <row r="8" spans="1:11" x14ac:dyDescent="0.25">
      <c r="A8" t="s">
        <v>1136</v>
      </c>
      <c r="B8" t="s">
        <v>121</v>
      </c>
      <c r="C8">
        <f t="shared" si="0"/>
        <v>13</v>
      </c>
      <c r="D8" t="e">
        <f t="shared" si="1"/>
        <v>#VALUE!</v>
      </c>
      <c r="E8">
        <f t="shared" si="2"/>
        <v>100</v>
      </c>
      <c r="F8" t="s">
        <v>369</v>
      </c>
      <c r="G8">
        <f t="shared" si="3"/>
        <v>33</v>
      </c>
      <c r="H8" t="s">
        <v>617</v>
      </c>
      <c r="I8" t="str">
        <f t="shared" si="4"/>
        <v>https://hl7.org/cda/us/ccda/Binary-advance-directive-existence-observation-example.html</v>
      </c>
      <c r="J8" t="s">
        <v>1358</v>
      </c>
      <c r="K8" t="str">
        <f t="shared" si="5"/>
        <v>{ file:'2.16.840.1.113883.10.20.22.4.513.html', href:'https://hl7.org/cda/us/ccda/Binary-advance-directive-existence-observation-example.html', text:'advance-directive-existence-observation-example' },</v>
      </c>
    </row>
    <row r="9" spans="1:11" x14ac:dyDescent="0.25">
      <c r="A9" t="s">
        <v>1136</v>
      </c>
      <c r="B9" t="s">
        <v>122</v>
      </c>
      <c r="C9">
        <f t="shared" si="0"/>
        <v>13</v>
      </c>
      <c r="D9">
        <f t="shared" si="1"/>
        <v>51</v>
      </c>
      <c r="E9">
        <f t="shared" si="2"/>
        <v>51</v>
      </c>
      <c r="F9" t="s">
        <v>370</v>
      </c>
      <c r="G9">
        <f t="shared" si="3"/>
        <v>31</v>
      </c>
      <c r="H9" t="s">
        <v>618</v>
      </c>
      <c r="I9" t="str">
        <f t="shared" si="4"/>
        <v>https://hl7.org/cda/us/ccda/Binary-advance-directive-existence-observation-example.html</v>
      </c>
      <c r="J9" t="s">
        <v>1358</v>
      </c>
      <c r="K9" t="str">
        <f t="shared" si="5"/>
        <v>{ file:'2.16.840.1.113883.10.20.22.5.6.html', href:'https://hl7.org/cda/us/ccda/Binary-advance-directive-existence-observation-example.html', text:'advance-directive-existence-observation-example' },</v>
      </c>
    </row>
    <row r="10" spans="1:11" x14ac:dyDescent="0.25">
      <c r="A10" t="s">
        <v>1136</v>
      </c>
      <c r="B10" t="s">
        <v>123</v>
      </c>
      <c r="C10">
        <f t="shared" si="0"/>
        <v>13</v>
      </c>
      <c r="D10" t="e">
        <f t="shared" si="1"/>
        <v>#VALUE!</v>
      </c>
      <c r="E10">
        <f t="shared" si="2"/>
        <v>100</v>
      </c>
      <c r="F10" t="s">
        <v>371</v>
      </c>
      <c r="G10">
        <f t="shared" si="3"/>
        <v>32</v>
      </c>
      <c r="H10" t="s">
        <v>619</v>
      </c>
      <c r="I10" t="str">
        <f t="shared" si="4"/>
        <v>https://hl7.org/cda/us/ccda/Binary-advance-directive-existence-observation-example.html</v>
      </c>
      <c r="J10" t="s">
        <v>1358</v>
      </c>
      <c r="K10" t="str">
        <f t="shared" si="5"/>
        <v>{ file:'2.16.840.1.113883.10.20.22.4.48.html', href:'https://hl7.org/cda/us/ccda/Binary-advance-directive-existence-observation-example.html', text:'advance-directive-existence-observation-example' },</v>
      </c>
    </row>
    <row r="11" spans="1:11" x14ac:dyDescent="0.25">
      <c r="A11" t="s">
        <v>1136</v>
      </c>
      <c r="B11" t="s">
        <v>124</v>
      </c>
      <c r="C11">
        <f t="shared" si="0"/>
        <v>13</v>
      </c>
      <c r="D11" t="e">
        <f t="shared" si="1"/>
        <v>#VALUE!</v>
      </c>
      <c r="E11">
        <f t="shared" si="2"/>
        <v>100</v>
      </c>
      <c r="F11" t="s">
        <v>372</v>
      </c>
      <c r="G11">
        <f t="shared" si="3"/>
        <v>33</v>
      </c>
      <c r="H11" t="s">
        <v>620</v>
      </c>
      <c r="I11" t="str">
        <f t="shared" si="4"/>
        <v>https://hl7.org/cda/us/ccda/Binary-advance-directive-existence-observation-example.html</v>
      </c>
      <c r="J11" t="s">
        <v>1358</v>
      </c>
      <c r="K11" t="str">
        <f t="shared" si="5"/>
        <v>{ file:'2.16.840.1.113883.10.20.22.4.119.html', href:'https://hl7.org/cda/us/ccda/Binary-advance-directive-existence-observation-example.html', text:'advance-directive-existence-observation-example' },</v>
      </c>
    </row>
    <row r="12" spans="1:11" x14ac:dyDescent="0.25">
      <c r="A12" t="s">
        <v>1136</v>
      </c>
      <c r="B12" t="s">
        <v>125</v>
      </c>
      <c r="C12">
        <f t="shared" si="0"/>
        <v>13</v>
      </c>
      <c r="D12" t="e">
        <f t="shared" si="1"/>
        <v>#VALUE!</v>
      </c>
      <c r="E12">
        <f t="shared" si="2"/>
        <v>100</v>
      </c>
      <c r="F12" t="s">
        <v>373</v>
      </c>
      <c r="G12">
        <f t="shared" si="3"/>
        <v>29</v>
      </c>
      <c r="H12" t="s">
        <v>621</v>
      </c>
      <c r="I12" t="str">
        <f t="shared" si="4"/>
        <v>https://hl7.org/cda/us/ccda/Binary-advance-directive-existence-observation-example.html</v>
      </c>
      <c r="J12" t="s">
        <v>1358</v>
      </c>
      <c r="K12" t="str">
        <f t="shared" si="5"/>
        <v>{ file:'2.16.840.1.113883.10.20.1.58.html', href:'https://hl7.org/cda/us/ccda/Binary-advance-directive-existence-observation-example.html', text:'advance-directive-existence-observation-example' },</v>
      </c>
    </row>
    <row r="13" spans="1:11" x14ac:dyDescent="0.25">
      <c r="A13" t="s">
        <v>1136</v>
      </c>
      <c r="B13" t="s">
        <v>125</v>
      </c>
      <c r="C13">
        <f t="shared" si="0"/>
        <v>13</v>
      </c>
      <c r="D13" t="e">
        <f t="shared" si="1"/>
        <v>#VALUE!</v>
      </c>
      <c r="E13">
        <f t="shared" si="2"/>
        <v>100</v>
      </c>
      <c r="F13" t="s">
        <v>373</v>
      </c>
      <c r="G13">
        <f t="shared" si="3"/>
        <v>29</v>
      </c>
      <c r="H13" t="s">
        <v>621</v>
      </c>
      <c r="I13" t="str">
        <f t="shared" si="4"/>
        <v>https://hl7.org/cda/us/ccda/Binary-advance-directive-existence-observation-example.html</v>
      </c>
      <c r="J13" t="s">
        <v>1358</v>
      </c>
      <c r="K13" t="str">
        <f t="shared" si="5"/>
        <v>{ file:'2.16.840.1.113883.10.20.1.58.html', href:'https://hl7.org/cda/us/ccda/Binary-advance-directive-existence-observation-example.html', text:'advance-directive-existence-observation-example' },</v>
      </c>
    </row>
    <row r="14" spans="1:11" x14ac:dyDescent="0.25">
      <c r="A14" t="s">
        <v>1137</v>
      </c>
      <c r="B14" t="s">
        <v>123</v>
      </c>
      <c r="C14">
        <f t="shared" si="0"/>
        <v>13</v>
      </c>
      <c r="D14" t="e">
        <f t="shared" si="1"/>
        <v>#VALUE!</v>
      </c>
      <c r="E14">
        <f t="shared" si="2"/>
        <v>100</v>
      </c>
      <c r="F14" t="s">
        <v>371</v>
      </c>
      <c r="G14">
        <f t="shared" si="3"/>
        <v>32</v>
      </c>
      <c r="H14" t="s">
        <v>619</v>
      </c>
      <c r="I14" t="str">
        <f t="shared" si="4"/>
        <v>https://hl7.org/cda/us/ccda/Binary-advance-directive-observation-example.html</v>
      </c>
      <c r="J14" t="s">
        <v>1359</v>
      </c>
      <c r="K14" t="str">
        <f t="shared" si="5"/>
        <v>{ file:'2.16.840.1.113883.10.20.22.4.48.html', href:'https://hl7.org/cda/us/ccda/Binary-advance-directive-observation-example.html', text:'advance-directive-observation-example' },</v>
      </c>
    </row>
    <row r="15" spans="1:11" x14ac:dyDescent="0.25">
      <c r="A15" t="s">
        <v>1137</v>
      </c>
      <c r="B15" t="s">
        <v>124</v>
      </c>
      <c r="C15">
        <f t="shared" si="0"/>
        <v>13</v>
      </c>
      <c r="D15" t="e">
        <f t="shared" si="1"/>
        <v>#VALUE!</v>
      </c>
      <c r="E15">
        <f t="shared" si="2"/>
        <v>100</v>
      </c>
      <c r="F15" t="s">
        <v>372</v>
      </c>
      <c r="G15">
        <f t="shared" si="3"/>
        <v>33</v>
      </c>
      <c r="H15" t="s">
        <v>620</v>
      </c>
      <c r="I15" t="str">
        <f t="shared" si="4"/>
        <v>https://hl7.org/cda/us/ccda/Binary-advance-directive-observation-example.html</v>
      </c>
      <c r="J15" t="s">
        <v>1359</v>
      </c>
      <c r="K15" t="str">
        <f t="shared" si="5"/>
        <v>{ file:'2.16.840.1.113883.10.20.22.4.119.html', href:'https://hl7.org/cda/us/ccda/Binary-advance-directive-observation-example.html', text:'advance-directive-observation-example' },</v>
      </c>
    </row>
    <row r="16" spans="1:11" x14ac:dyDescent="0.25">
      <c r="A16" t="s">
        <v>1137</v>
      </c>
      <c r="B16" t="s">
        <v>125</v>
      </c>
      <c r="C16">
        <f t="shared" si="0"/>
        <v>13</v>
      </c>
      <c r="D16" t="e">
        <f t="shared" si="1"/>
        <v>#VALUE!</v>
      </c>
      <c r="E16">
        <f t="shared" si="2"/>
        <v>100</v>
      </c>
      <c r="F16" t="s">
        <v>373</v>
      </c>
      <c r="G16">
        <f t="shared" si="3"/>
        <v>29</v>
      </c>
      <c r="H16" t="s">
        <v>621</v>
      </c>
      <c r="I16" t="str">
        <f t="shared" si="4"/>
        <v>https://hl7.org/cda/us/ccda/Binary-advance-directive-observation-example.html</v>
      </c>
      <c r="J16" t="s">
        <v>1359</v>
      </c>
      <c r="K16" t="str">
        <f t="shared" si="5"/>
        <v>{ file:'2.16.840.1.113883.10.20.1.58.html', href:'https://hl7.org/cda/us/ccda/Binary-advance-directive-observation-example.html', text:'advance-directive-observation-example' },</v>
      </c>
    </row>
    <row r="17" spans="1:11" x14ac:dyDescent="0.25">
      <c r="A17" t="s">
        <v>1137</v>
      </c>
      <c r="B17" t="s">
        <v>125</v>
      </c>
      <c r="C17">
        <f t="shared" si="0"/>
        <v>13</v>
      </c>
      <c r="D17" t="e">
        <f t="shared" si="1"/>
        <v>#VALUE!</v>
      </c>
      <c r="E17">
        <f t="shared" si="2"/>
        <v>100</v>
      </c>
      <c r="F17" t="s">
        <v>373</v>
      </c>
      <c r="G17">
        <f t="shared" si="3"/>
        <v>29</v>
      </c>
      <c r="H17" t="s">
        <v>621</v>
      </c>
      <c r="I17" t="str">
        <f t="shared" si="4"/>
        <v>https://hl7.org/cda/us/ccda/Binary-advance-directive-observation-example.html</v>
      </c>
      <c r="J17" t="s">
        <v>1359</v>
      </c>
      <c r="K17" t="str">
        <f t="shared" si="5"/>
        <v>{ file:'2.16.840.1.113883.10.20.1.58.html', href:'https://hl7.org/cda/us/ccda/Binary-advance-directive-observation-example.html', text:'advance-directive-observation-example' },</v>
      </c>
    </row>
    <row r="18" spans="1:11" x14ac:dyDescent="0.25">
      <c r="A18" t="s">
        <v>1138</v>
      </c>
      <c r="B18" t="s">
        <v>126</v>
      </c>
      <c r="C18">
        <f t="shared" si="0"/>
        <v>13</v>
      </c>
      <c r="D18">
        <f t="shared" si="1"/>
        <v>54</v>
      </c>
      <c r="E18">
        <f t="shared" si="2"/>
        <v>54</v>
      </c>
      <c r="F18" t="s">
        <v>374</v>
      </c>
      <c r="G18">
        <f t="shared" si="3"/>
        <v>34</v>
      </c>
      <c r="H18" t="s">
        <v>622</v>
      </c>
      <c r="I18" t="str">
        <f t="shared" si="4"/>
        <v>https://hl7.org/cda/us/ccda/Binary-advance-directives-section-example.html</v>
      </c>
      <c r="J18" t="s">
        <v>1360</v>
      </c>
      <c r="K18" t="str">
        <f t="shared" si="5"/>
        <v>{ file:'2.16.840.1.113883.10.20.22.2.21.1.html', href:'https://hl7.org/cda/us/ccda/Binary-advance-directives-section-example.html', text:'advance-directives-section-example' },</v>
      </c>
    </row>
    <row r="19" spans="1:11" x14ac:dyDescent="0.25">
      <c r="A19" t="s">
        <v>1138</v>
      </c>
      <c r="B19" t="s">
        <v>127</v>
      </c>
      <c r="C19">
        <f t="shared" si="0"/>
        <v>16</v>
      </c>
      <c r="D19" t="e">
        <f t="shared" si="1"/>
        <v>#VALUE!</v>
      </c>
      <c r="E19">
        <f t="shared" si="2"/>
        <v>100</v>
      </c>
      <c r="F19" t="s">
        <v>369</v>
      </c>
      <c r="G19">
        <f t="shared" si="3"/>
        <v>33</v>
      </c>
      <c r="H19" t="s">
        <v>617</v>
      </c>
      <c r="I19" t="str">
        <f t="shared" si="4"/>
        <v>https://hl7.org/cda/us/ccda/Binary-advance-directives-section-example.html</v>
      </c>
      <c r="J19" t="s">
        <v>1360</v>
      </c>
      <c r="K19" t="str">
        <f t="shared" si="5"/>
        <v>{ file:'2.16.840.1.113883.10.20.22.4.513.html', href:'https://hl7.org/cda/us/ccda/Binary-advance-directives-section-example.html', text:'advance-directives-section-example' },</v>
      </c>
    </row>
    <row r="20" spans="1:11" x14ac:dyDescent="0.25">
      <c r="A20" t="s">
        <v>1138</v>
      </c>
      <c r="B20" t="s">
        <v>128</v>
      </c>
      <c r="C20">
        <f t="shared" si="0"/>
        <v>16</v>
      </c>
      <c r="D20">
        <f t="shared" si="1"/>
        <v>54</v>
      </c>
      <c r="E20">
        <f t="shared" si="2"/>
        <v>54</v>
      </c>
      <c r="F20" t="s">
        <v>370</v>
      </c>
      <c r="G20">
        <f t="shared" si="3"/>
        <v>31</v>
      </c>
      <c r="H20" t="s">
        <v>618</v>
      </c>
      <c r="I20" t="str">
        <f t="shared" si="4"/>
        <v>https://hl7.org/cda/us/ccda/Binary-advance-directives-section-example.html</v>
      </c>
      <c r="J20" t="s">
        <v>1360</v>
      </c>
      <c r="K20" t="str">
        <f t="shared" si="5"/>
        <v>{ file:'2.16.840.1.113883.10.20.22.5.6.html', href:'https://hl7.org/cda/us/ccda/Binary-advance-directives-section-example.html', text:'advance-directives-section-example' },</v>
      </c>
    </row>
    <row r="21" spans="1:11" x14ac:dyDescent="0.25">
      <c r="A21" t="s">
        <v>1139</v>
      </c>
      <c r="B21" t="s">
        <v>129</v>
      </c>
      <c r="C21">
        <f t="shared" si="0"/>
        <v>13</v>
      </c>
      <c r="D21" t="e">
        <f t="shared" si="1"/>
        <v>#VALUE!</v>
      </c>
      <c r="E21">
        <f t="shared" si="2"/>
        <v>100</v>
      </c>
      <c r="F21" t="s">
        <v>375</v>
      </c>
      <c r="G21">
        <f t="shared" si="3"/>
        <v>32</v>
      </c>
      <c r="H21" t="s">
        <v>623</v>
      </c>
      <c r="I21" t="str">
        <f t="shared" si="4"/>
        <v>https://hl7.org/cda/us/ccda/Binary-age-observation-example.html</v>
      </c>
      <c r="J21" t="s">
        <v>1361</v>
      </c>
      <c r="K21" t="str">
        <f t="shared" si="5"/>
        <v>{ file:'2.16.840.1.113883.10.20.22.4.31.html', href:'https://hl7.org/cda/us/ccda/Binary-age-observation-example.html', text:'age-observation-example' },</v>
      </c>
    </row>
    <row r="22" spans="1:11" x14ac:dyDescent="0.25">
      <c r="A22" t="s">
        <v>1140</v>
      </c>
      <c r="B22" t="s">
        <v>130</v>
      </c>
      <c r="C22">
        <f t="shared" si="0"/>
        <v>13</v>
      </c>
      <c r="D22">
        <f t="shared" si="1"/>
        <v>53</v>
      </c>
      <c r="E22">
        <f t="shared" si="2"/>
        <v>53</v>
      </c>
      <c r="F22" t="s">
        <v>376</v>
      </c>
      <c r="G22">
        <f t="shared" si="3"/>
        <v>33</v>
      </c>
      <c r="H22" t="s">
        <v>624</v>
      </c>
      <c r="I22" t="str">
        <f t="shared" si="4"/>
        <v>https://hl7.org/cda/us/ccda/Binary-allergies-and-intolerances-section-example.html</v>
      </c>
      <c r="J22" t="s">
        <v>1362</v>
      </c>
      <c r="K22" t="str">
        <f t="shared" si="5"/>
        <v>{ file:'2.16.840.1.113883.10.20.22.2.6.1.html', href:'https://hl7.org/cda/us/ccda/Binary-allergies-and-intolerances-section-example.html', text:'allergies-and-intolerances-section-example' },</v>
      </c>
    </row>
    <row r="23" spans="1:11" x14ac:dyDescent="0.25">
      <c r="A23" t="s">
        <v>1140</v>
      </c>
      <c r="B23" t="s">
        <v>131</v>
      </c>
      <c r="C23">
        <f t="shared" si="0"/>
        <v>16</v>
      </c>
      <c r="D23">
        <f t="shared" si="1"/>
        <v>55</v>
      </c>
      <c r="E23">
        <f t="shared" si="2"/>
        <v>55</v>
      </c>
      <c r="F23" t="s">
        <v>377</v>
      </c>
      <c r="G23">
        <f t="shared" si="3"/>
        <v>32</v>
      </c>
      <c r="H23" t="s">
        <v>625</v>
      </c>
      <c r="I23" t="str">
        <f t="shared" si="4"/>
        <v>https://hl7.org/cda/us/ccda/Binary-allergies-and-intolerances-section-example.html</v>
      </c>
      <c r="J23" t="s">
        <v>1362</v>
      </c>
      <c r="K23" t="str">
        <f t="shared" si="5"/>
        <v>{ file:'2.16.840.1.113883.10.20.22.4.30.html', href:'https://hl7.org/cda/us/ccda/Binary-allergies-and-intolerances-section-example.html', text:'allergies-and-intolerances-section-example' },</v>
      </c>
    </row>
    <row r="24" spans="1:11" x14ac:dyDescent="0.25">
      <c r="A24" t="s">
        <v>1140</v>
      </c>
      <c r="B24" t="s">
        <v>132</v>
      </c>
      <c r="C24">
        <f t="shared" si="0"/>
        <v>16</v>
      </c>
      <c r="D24" t="e">
        <f t="shared" si="1"/>
        <v>#VALUE!</v>
      </c>
      <c r="E24">
        <f t="shared" si="2"/>
        <v>100</v>
      </c>
      <c r="F24" t="s">
        <v>372</v>
      </c>
      <c r="G24">
        <f t="shared" si="3"/>
        <v>33</v>
      </c>
      <c r="H24" t="s">
        <v>620</v>
      </c>
      <c r="I24" t="str">
        <f t="shared" si="4"/>
        <v>https://hl7.org/cda/us/ccda/Binary-allergies-and-intolerances-section-example.html</v>
      </c>
      <c r="J24" t="s">
        <v>1362</v>
      </c>
      <c r="K24" t="str">
        <f t="shared" si="5"/>
        <v>{ file:'2.16.840.1.113883.10.20.22.4.119.html', href:'https://hl7.org/cda/us/ccda/Binary-allergies-and-intolerances-section-example.html', text:'allergies-and-intolerances-section-example' },</v>
      </c>
    </row>
    <row r="25" spans="1:11" x14ac:dyDescent="0.25">
      <c r="A25" t="s">
        <v>1140</v>
      </c>
      <c r="B25" t="s">
        <v>133</v>
      </c>
      <c r="C25">
        <f t="shared" si="0"/>
        <v>16</v>
      </c>
      <c r="D25">
        <f t="shared" si="1"/>
        <v>54</v>
      </c>
      <c r="E25">
        <f t="shared" si="2"/>
        <v>54</v>
      </c>
      <c r="F25" t="s">
        <v>378</v>
      </c>
      <c r="G25">
        <f t="shared" si="3"/>
        <v>31</v>
      </c>
      <c r="H25" t="s">
        <v>626</v>
      </c>
      <c r="I25" t="str">
        <f t="shared" si="4"/>
        <v>https://hl7.org/cda/us/ccda/Binary-allergies-and-intolerances-section-example.html</v>
      </c>
      <c r="J25" t="s">
        <v>1362</v>
      </c>
      <c r="K25" t="str">
        <f t="shared" si="5"/>
        <v>{ file:'2.16.840.1.113883.10.20.22.4.7.html', href:'https://hl7.org/cda/us/ccda/Binary-allergies-and-intolerances-section-example.html', text:'allergies-and-intolerances-section-example' },</v>
      </c>
    </row>
    <row r="26" spans="1:11" x14ac:dyDescent="0.25">
      <c r="A26" t="s">
        <v>1140</v>
      </c>
      <c r="B26" t="s">
        <v>134</v>
      </c>
      <c r="C26">
        <f t="shared" si="0"/>
        <v>16</v>
      </c>
      <c r="D26">
        <f t="shared" si="1"/>
        <v>55</v>
      </c>
      <c r="E26">
        <f t="shared" si="2"/>
        <v>55</v>
      </c>
      <c r="F26" t="s">
        <v>379</v>
      </c>
      <c r="G26">
        <f t="shared" si="3"/>
        <v>32</v>
      </c>
      <c r="H26" t="s">
        <v>627</v>
      </c>
      <c r="I26" t="str">
        <f t="shared" si="4"/>
        <v>https://hl7.org/cda/us/ccda/Binary-allergies-and-intolerances-section-example.html</v>
      </c>
      <c r="J26" t="s">
        <v>1362</v>
      </c>
      <c r="K26" t="str">
        <f t="shared" si="5"/>
        <v>{ file:'2.16.840.1.113883.10.20.24.3.90.html', href:'https://hl7.org/cda/us/ccda/Binary-allergies-and-intolerances-section-example.html', text:'allergies-and-intolerances-section-example' },</v>
      </c>
    </row>
    <row r="27" spans="1:11" x14ac:dyDescent="0.25">
      <c r="A27" t="s">
        <v>1141</v>
      </c>
      <c r="B27" t="s">
        <v>135</v>
      </c>
      <c r="C27">
        <f t="shared" si="0"/>
        <v>13</v>
      </c>
      <c r="D27">
        <f t="shared" si="1"/>
        <v>52</v>
      </c>
      <c r="E27">
        <f t="shared" si="2"/>
        <v>52</v>
      </c>
      <c r="F27" t="s">
        <v>377</v>
      </c>
      <c r="G27">
        <f t="shared" si="3"/>
        <v>32</v>
      </c>
      <c r="H27" t="s">
        <v>625</v>
      </c>
      <c r="I27" t="str">
        <f t="shared" si="4"/>
        <v>https://hl7.org/cda/us/ccda/Binary-allergy-concern-act-example.html</v>
      </c>
      <c r="J27" t="s">
        <v>1363</v>
      </c>
      <c r="K27" t="str">
        <f t="shared" si="5"/>
        <v>{ file:'2.16.840.1.113883.10.20.22.4.30.html', href:'https://hl7.org/cda/us/ccda/Binary-allergy-concern-act-example.html', text:'allergy-concern-act-example' },</v>
      </c>
    </row>
    <row r="28" spans="1:11" x14ac:dyDescent="0.25">
      <c r="A28" t="s">
        <v>1141</v>
      </c>
      <c r="B28" t="s">
        <v>124</v>
      </c>
      <c r="C28">
        <f t="shared" si="0"/>
        <v>13</v>
      </c>
      <c r="D28" t="e">
        <f t="shared" si="1"/>
        <v>#VALUE!</v>
      </c>
      <c r="E28">
        <f t="shared" si="2"/>
        <v>100</v>
      </c>
      <c r="F28" t="s">
        <v>372</v>
      </c>
      <c r="G28">
        <f t="shared" si="3"/>
        <v>33</v>
      </c>
      <c r="H28" t="s">
        <v>620</v>
      </c>
      <c r="I28" t="str">
        <f t="shared" si="4"/>
        <v>https://hl7.org/cda/us/ccda/Binary-allergy-concern-act-example.html</v>
      </c>
      <c r="J28" t="s">
        <v>1363</v>
      </c>
      <c r="K28" t="str">
        <f t="shared" si="5"/>
        <v>{ file:'2.16.840.1.113883.10.20.22.4.119.html', href:'https://hl7.org/cda/us/ccda/Binary-allergy-concern-act-example.html', text:'allergy-concern-act-example' },</v>
      </c>
    </row>
    <row r="29" spans="1:11" x14ac:dyDescent="0.25">
      <c r="A29" t="s">
        <v>1141</v>
      </c>
      <c r="B29" t="s">
        <v>2</v>
      </c>
      <c r="C29">
        <f t="shared" si="0"/>
        <v>13</v>
      </c>
      <c r="D29">
        <f t="shared" si="1"/>
        <v>51</v>
      </c>
      <c r="E29">
        <f t="shared" si="2"/>
        <v>51</v>
      </c>
      <c r="F29" t="s">
        <v>378</v>
      </c>
      <c r="G29">
        <f t="shared" si="3"/>
        <v>31</v>
      </c>
      <c r="H29" t="s">
        <v>626</v>
      </c>
      <c r="I29" t="str">
        <f t="shared" si="4"/>
        <v>https://hl7.org/cda/us/ccda/Binary-allergy-concern-act-example.html</v>
      </c>
      <c r="J29" t="s">
        <v>1363</v>
      </c>
      <c r="K29" t="str">
        <f t="shared" si="5"/>
        <v>{ file:'2.16.840.1.113883.10.20.22.4.7.html', href:'https://hl7.org/cda/us/ccda/Binary-allergy-concern-act-example.html', text:'allergy-concern-act-example' },</v>
      </c>
    </row>
    <row r="30" spans="1:11" x14ac:dyDescent="0.25">
      <c r="A30" t="s">
        <v>1141</v>
      </c>
      <c r="B30" t="s">
        <v>3</v>
      </c>
      <c r="C30">
        <f t="shared" si="0"/>
        <v>13</v>
      </c>
      <c r="D30">
        <f t="shared" si="1"/>
        <v>52</v>
      </c>
      <c r="E30">
        <f t="shared" si="2"/>
        <v>52</v>
      </c>
      <c r="F30" t="s">
        <v>379</v>
      </c>
      <c r="G30">
        <f t="shared" si="3"/>
        <v>32</v>
      </c>
      <c r="H30" t="s">
        <v>627</v>
      </c>
      <c r="I30" t="str">
        <f t="shared" si="4"/>
        <v>https://hl7.org/cda/us/ccda/Binary-allergy-concern-act-example.html</v>
      </c>
      <c r="J30" t="s">
        <v>1363</v>
      </c>
      <c r="K30" t="str">
        <f t="shared" si="5"/>
        <v>{ file:'2.16.840.1.113883.10.20.24.3.90.html', href:'https://hl7.org/cda/us/ccda/Binary-allergy-concern-act-example.html', text:'allergy-concern-act-example' },</v>
      </c>
    </row>
    <row r="31" spans="1:11" x14ac:dyDescent="0.25">
      <c r="A31" t="s">
        <v>1142</v>
      </c>
      <c r="B31" t="s">
        <v>41</v>
      </c>
      <c r="C31">
        <f t="shared" si="0"/>
        <v>14</v>
      </c>
      <c r="D31">
        <f t="shared" si="1"/>
        <v>52</v>
      </c>
      <c r="E31">
        <f t="shared" si="2"/>
        <v>52</v>
      </c>
      <c r="F31" t="s">
        <v>378</v>
      </c>
      <c r="G31">
        <f t="shared" si="3"/>
        <v>31</v>
      </c>
      <c r="H31" t="s">
        <v>626</v>
      </c>
      <c r="I31" t="str">
        <f t="shared" si="4"/>
        <v>https://hl7.org/cda/us/ccda/Binary-allergy-intolerance-observation-drugclass-example.html</v>
      </c>
      <c r="J31" t="s">
        <v>1364</v>
      </c>
      <c r="K31" t="str">
        <f t="shared" si="5"/>
        <v>{ file:'2.16.840.1.113883.10.20.22.4.7.html', href:'https://hl7.org/cda/us/ccda/Binary-allergy-intolerance-observation-drugclass-example.html', text:'allergy-intolerance-observation-drugclass-example' },</v>
      </c>
    </row>
    <row r="32" spans="1:11" x14ac:dyDescent="0.25">
      <c r="A32" t="s">
        <v>1142</v>
      </c>
      <c r="B32" t="s">
        <v>42</v>
      </c>
      <c r="C32">
        <f t="shared" si="0"/>
        <v>14</v>
      </c>
      <c r="D32">
        <f t="shared" si="1"/>
        <v>53</v>
      </c>
      <c r="E32">
        <f t="shared" si="2"/>
        <v>53</v>
      </c>
      <c r="F32" t="s">
        <v>379</v>
      </c>
      <c r="G32">
        <f t="shared" si="3"/>
        <v>32</v>
      </c>
      <c r="H32" t="s">
        <v>627</v>
      </c>
      <c r="I32" t="str">
        <f t="shared" si="4"/>
        <v>https://hl7.org/cda/us/ccda/Binary-allergy-intolerance-observation-drugclass-example.html</v>
      </c>
      <c r="J32" t="s">
        <v>1364</v>
      </c>
      <c r="K32" t="str">
        <f t="shared" si="5"/>
        <v>{ file:'2.16.840.1.113883.10.20.24.3.90.html', href:'https://hl7.org/cda/us/ccda/Binary-allergy-intolerance-observation-drugclass-example.html', text:'allergy-intolerance-observation-drugclass-example' },</v>
      </c>
    </row>
    <row r="33" spans="1:11" x14ac:dyDescent="0.25">
      <c r="A33" t="s">
        <v>1142</v>
      </c>
      <c r="B33" t="s">
        <v>124</v>
      </c>
      <c r="C33">
        <f t="shared" si="0"/>
        <v>13</v>
      </c>
      <c r="D33" t="e">
        <f t="shared" si="1"/>
        <v>#VALUE!</v>
      </c>
      <c r="E33">
        <f t="shared" si="2"/>
        <v>100</v>
      </c>
      <c r="F33" t="s">
        <v>372</v>
      </c>
      <c r="G33">
        <f t="shared" si="3"/>
        <v>33</v>
      </c>
      <c r="H33" t="s">
        <v>620</v>
      </c>
      <c r="I33" t="str">
        <f t="shared" si="4"/>
        <v>https://hl7.org/cda/us/ccda/Binary-allergy-intolerance-observation-drugclass-example.html</v>
      </c>
      <c r="J33" t="s">
        <v>1364</v>
      </c>
      <c r="K33" t="str">
        <f t="shared" si="5"/>
        <v>{ file:'2.16.840.1.113883.10.20.22.4.119.html', href:'https://hl7.org/cda/us/ccda/Binary-allergy-intolerance-observation-drugclass-example.html', text:'allergy-intolerance-observation-drugclass-example' },</v>
      </c>
    </row>
    <row r="34" spans="1:11" x14ac:dyDescent="0.25">
      <c r="A34" t="s">
        <v>1142</v>
      </c>
      <c r="B34" t="s">
        <v>43</v>
      </c>
      <c r="C34">
        <f t="shared" si="0"/>
        <v>16</v>
      </c>
      <c r="D34">
        <f t="shared" si="1"/>
        <v>54</v>
      </c>
      <c r="E34">
        <f t="shared" si="2"/>
        <v>54</v>
      </c>
      <c r="F34" t="s">
        <v>380</v>
      </c>
      <c r="G34">
        <f t="shared" si="3"/>
        <v>31</v>
      </c>
      <c r="H34" t="s">
        <v>628</v>
      </c>
      <c r="I34" t="str">
        <f t="shared" si="4"/>
        <v>https://hl7.org/cda/us/ccda/Binary-allergy-intolerance-observation-drugclass-example.html</v>
      </c>
      <c r="J34" t="s">
        <v>1364</v>
      </c>
      <c r="K34" t="str">
        <f t="shared" si="5"/>
        <v>{ file:'2.16.840.1.113883.10.20.22.4.9.html', href:'https://hl7.org/cda/us/ccda/Binary-allergy-intolerance-observation-drugclass-example.html', text:'allergy-intolerance-observation-drugclass-example' },</v>
      </c>
    </row>
    <row r="35" spans="1:11" x14ac:dyDescent="0.25">
      <c r="A35" t="s">
        <v>1142</v>
      </c>
      <c r="B35" t="s">
        <v>44</v>
      </c>
      <c r="C35">
        <f t="shared" si="0"/>
        <v>18</v>
      </c>
      <c r="D35">
        <f t="shared" si="1"/>
        <v>56</v>
      </c>
      <c r="E35">
        <f t="shared" si="2"/>
        <v>56</v>
      </c>
      <c r="F35" t="s">
        <v>381</v>
      </c>
      <c r="G35">
        <f t="shared" si="3"/>
        <v>31</v>
      </c>
      <c r="H35" t="s">
        <v>629</v>
      </c>
      <c r="I35" t="str">
        <f t="shared" si="4"/>
        <v>https://hl7.org/cda/us/ccda/Binary-allergy-intolerance-observation-drugclass-example.html</v>
      </c>
      <c r="J35" t="s">
        <v>1364</v>
      </c>
      <c r="K35" t="str">
        <f t="shared" si="5"/>
        <v>{ file:'2.16.840.1.113883.10.20.22.4.8.html', href:'https://hl7.org/cda/us/ccda/Binary-allergy-intolerance-observation-drugclass-example.html', text:'allergy-intolerance-observation-drugclass-example' },</v>
      </c>
    </row>
    <row r="36" spans="1:11" x14ac:dyDescent="0.25">
      <c r="A36" t="s">
        <v>1143</v>
      </c>
      <c r="B36" t="s">
        <v>2</v>
      </c>
      <c r="C36">
        <f t="shared" si="0"/>
        <v>13</v>
      </c>
      <c r="D36">
        <f t="shared" si="1"/>
        <v>51</v>
      </c>
      <c r="E36">
        <f t="shared" si="2"/>
        <v>51</v>
      </c>
      <c r="F36" t="s">
        <v>378</v>
      </c>
      <c r="G36">
        <f t="shared" si="3"/>
        <v>31</v>
      </c>
      <c r="H36" t="s">
        <v>626</v>
      </c>
      <c r="I36" t="str">
        <f t="shared" si="4"/>
        <v>https://hl7.org/cda/us/ccda/Binary-allergy-intolerance-observation-medication-example.html</v>
      </c>
      <c r="J36" t="s">
        <v>1365</v>
      </c>
      <c r="K36" t="str">
        <f t="shared" si="5"/>
        <v>{ file:'2.16.840.1.113883.10.20.22.4.7.html', href:'https://hl7.org/cda/us/ccda/Binary-allergy-intolerance-observation-medication-example.html', text:'allergy-intolerance-observation-medication-example' },</v>
      </c>
    </row>
    <row r="37" spans="1:11" x14ac:dyDescent="0.25">
      <c r="A37" t="s">
        <v>1143</v>
      </c>
      <c r="B37" t="s">
        <v>3</v>
      </c>
      <c r="C37">
        <f t="shared" si="0"/>
        <v>13</v>
      </c>
      <c r="D37">
        <f t="shared" si="1"/>
        <v>52</v>
      </c>
      <c r="E37">
        <f t="shared" si="2"/>
        <v>52</v>
      </c>
      <c r="F37" t="s">
        <v>379</v>
      </c>
      <c r="G37">
        <f t="shared" si="3"/>
        <v>32</v>
      </c>
      <c r="H37" t="s">
        <v>627</v>
      </c>
      <c r="I37" t="str">
        <f t="shared" si="4"/>
        <v>https://hl7.org/cda/us/ccda/Binary-allergy-intolerance-observation-medication-example.html</v>
      </c>
      <c r="J37" t="s">
        <v>1365</v>
      </c>
      <c r="K37" t="str">
        <f t="shared" si="5"/>
        <v>{ file:'2.16.840.1.113883.10.20.24.3.90.html', href:'https://hl7.org/cda/us/ccda/Binary-allergy-intolerance-observation-medication-example.html', text:'allergy-intolerance-observation-medication-example' },</v>
      </c>
    </row>
    <row r="38" spans="1:11" x14ac:dyDescent="0.25">
      <c r="A38" t="s">
        <v>1143</v>
      </c>
      <c r="B38" t="s">
        <v>124</v>
      </c>
      <c r="C38">
        <f t="shared" si="0"/>
        <v>13</v>
      </c>
      <c r="D38" t="e">
        <f t="shared" si="1"/>
        <v>#VALUE!</v>
      </c>
      <c r="E38">
        <f t="shared" si="2"/>
        <v>100</v>
      </c>
      <c r="F38" t="s">
        <v>372</v>
      </c>
      <c r="G38">
        <f t="shared" si="3"/>
        <v>33</v>
      </c>
      <c r="H38" t="s">
        <v>620</v>
      </c>
      <c r="I38" t="str">
        <f t="shared" si="4"/>
        <v>https://hl7.org/cda/us/ccda/Binary-allergy-intolerance-observation-medication-example.html</v>
      </c>
      <c r="J38" t="s">
        <v>1365</v>
      </c>
      <c r="K38" t="str">
        <f t="shared" si="5"/>
        <v>{ file:'2.16.840.1.113883.10.20.22.4.119.html', href:'https://hl7.org/cda/us/ccda/Binary-allergy-intolerance-observation-medication-example.html', text:'allergy-intolerance-observation-medication-example' },</v>
      </c>
    </row>
    <row r="39" spans="1:11" x14ac:dyDescent="0.25">
      <c r="A39" t="s">
        <v>1143</v>
      </c>
      <c r="B39" t="s">
        <v>136</v>
      </c>
      <c r="C39">
        <f t="shared" si="0"/>
        <v>13</v>
      </c>
      <c r="D39">
        <f t="shared" si="1"/>
        <v>51</v>
      </c>
      <c r="E39">
        <f t="shared" si="2"/>
        <v>51</v>
      </c>
      <c r="F39" t="s">
        <v>380</v>
      </c>
      <c r="G39">
        <f t="shared" si="3"/>
        <v>31</v>
      </c>
      <c r="H39" t="s">
        <v>628</v>
      </c>
      <c r="I39" t="str">
        <f t="shared" si="4"/>
        <v>https://hl7.org/cda/us/ccda/Binary-allergy-intolerance-observation-medication-example.html</v>
      </c>
      <c r="J39" t="s">
        <v>1365</v>
      </c>
      <c r="K39" t="str">
        <f t="shared" si="5"/>
        <v>{ file:'2.16.840.1.113883.10.20.22.4.9.html', href:'https://hl7.org/cda/us/ccda/Binary-allergy-intolerance-observation-medication-example.html', text:'allergy-intolerance-observation-medication-example' },</v>
      </c>
    </row>
    <row r="40" spans="1:11" x14ac:dyDescent="0.25">
      <c r="A40" t="s">
        <v>1143</v>
      </c>
      <c r="B40" t="s">
        <v>137</v>
      </c>
      <c r="C40">
        <f t="shared" si="0"/>
        <v>13</v>
      </c>
      <c r="D40">
        <f t="shared" si="1"/>
        <v>51</v>
      </c>
      <c r="E40">
        <f t="shared" si="2"/>
        <v>51</v>
      </c>
      <c r="F40" t="s">
        <v>381</v>
      </c>
      <c r="G40">
        <f t="shared" si="3"/>
        <v>31</v>
      </c>
      <c r="H40" t="s">
        <v>629</v>
      </c>
      <c r="I40" t="str">
        <f t="shared" si="4"/>
        <v>https://hl7.org/cda/us/ccda/Binary-allergy-intolerance-observation-medication-example.html</v>
      </c>
      <c r="J40" t="s">
        <v>1365</v>
      </c>
      <c r="K40" t="str">
        <f t="shared" si="5"/>
        <v>{ file:'2.16.840.1.113883.10.20.22.4.8.html', href:'https://hl7.org/cda/us/ccda/Binary-allergy-intolerance-observation-medication-example.html', text:'allergy-intolerance-observation-medication-example' },</v>
      </c>
    </row>
    <row r="41" spans="1:11" x14ac:dyDescent="0.25">
      <c r="A41" t="s">
        <v>1143</v>
      </c>
      <c r="B41" t="s">
        <v>138</v>
      </c>
      <c r="C41">
        <f t="shared" si="0"/>
        <v>13</v>
      </c>
      <c r="D41" t="e">
        <f t="shared" si="1"/>
        <v>#VALUE!</v>
      </c>
      <c r="E41">
        <f t="shared" si="2"/>
        <v>100</v>
      </c>
      <c r="F41" t="s">
        <v>382</v>
      </c>
      <c r="G41">
        <f t="shared" si="3"/>
        <v>33</v>
      </c>
      <c r="H41" t="s">
        <v>630</v>
      </c>
      <c r="I41" t="str">
        <f t="shared" si="4"/>
        <v>https://hl7.org/cda/us/ccda/Binary-allergy-intolerance-observation-medication-example.html</v>
      </c>
      <c r="J41" t="s">
        <v>1365</v>
      </c>
      <c r="K41" t="str">
        <f t="shared" si="5"/>
        <v>{ file:'2.16.840.1.113883.10.20.22.4.145.html', href:'https://hl7.org/cda/us/ccda/Binary-allergy-intolerance-observation-medication-example.html', text:'allergy-intolerance-observation-medication-example' },</v>
      </c>
    </row>
    <row r="42" spans="1:11" x14ac:dyDescent="0.25">
      <c r="A42" t="s">
        <v>1144</v>
      </c>
      <c r="B42" t="s">
        <v>41</v>
      </c>
      <c r="C42">
        <f t="shared" si="0"/>
        <v>14</v>
      </c>
      <c r="D42">
        <f t="shared" si="1"/>
        <v>52</v>
      </c>
      <c r="E42">
        <f t="shared" si="2"/>
        <v>52</v>
      </c>
      <c r="F42" t="s">
        <v>378</v>
      </c>
      <c r="G42">
        <f t="shared" si="3"/>
        <v>31</v>
      </c>
      <c r="H42" t="s">
        <v>626</v>
      </c>
      <c r="I42" t="str">
        <f t="shared" si="4"/>
        <v>https://hl7.org/cda/us/ccda/Binary-allergy-intolerance-observation-nonmedication-example.html</v>
      </c>
      <c r="J42" t="s">
        <v>1366</v>
      </c>
      <c r="K42" t="str">
        <f t="shared" si="5"/>
        <v>{ file:'2.16.840.1.113883.10.20.22.4.7.html', href:'https://hl7.org/cda/us/ccda/Binary-allergy-intolerance-observation-nonmedication-example.html', text:'allergy-intolerance-observation-nonmedication-example' },</v>
      </c>
    </row>
    <row r="43" spans="1:11" x14ac:dyDescent="0.25">
      <c r="A43" t="s">
        <v>1144</v>
      </c>
      <c r="B43" t="s">
        <v>42</v>
      </c>
      <c r="C43">
        <f t="shared" si="0"/>
        <v>14</v>
      </c>
      <c r="D43">
        <f t="shared" si="1"/>
        <v>53</v>
      </c>
      <c r="E43">
        <f t="shared" si="2"/>
        <v>53</v>
      </c>
      <c r="F43" t="s">
        <v>379</v>
      </c>
      <c r="G43">
        <f t="shared" si="3"/>
        <v>32</v>
      </c>
      <c r="H43" t="s">
        <v>627</v>
      </c>
      <c r="I43" t="str">
        <f t="shared" si="4"/>
        <v>https://hl7.org/cda/us/ccda/Binary-allergy-intolerance-observation-nonmedication-example.html</v>
      </c>
      <c r="J43" t="s">
        <v>1366</v>
      </c>
      <c r="K43" t="str">
        <f t="shared" si="5"/>
        <v>{ file:'2.16.840.1.113883.10.20.24.3.90.html', href:'https://hl7.org/cda/us/ccda/Binary-allergy-intolerance-observation-nonmedication-example.html', text:'allergy-intolerance-observation-nonmedication-example' },</v>
      </c>
    </row>
    <row r="44" spans="1:11" x14ac:dyDescent="0.25">
      <c r="A44" t="s">
        <v>1144</v>
      </c>
      <c r="B44" t="s">
        <v>124</v>
      </c>
      <c r="C44">
        <f t="shared" si="0"/>
        <v>13</v>
      </c>
      <c r="D44" t="e">
        <f t="shared" si="1"/>
        <v>#VALUE!</v>
      </c>
      <c r="E44">
        <f t="shared" si="2"/>
        <v>100</v>
      </c>
      <c r="F44" t="s">
        <v>372</v>
      </c>
      <c r="G44">
        <f t="shared" si="3"/>
        <v>33</v>
      </c>
      <c r="H44" t="s">
        <v>620</v>
      </c>
      <c r="I44" t="str">
        <f t="shared" si="4"/>
        <v>https://hl7.org/cda/us/ccda/Binary-allergy-intolerance-observation-nonmedication-example.html</v>
      </c>
      <c r="J44" t="s">
        <v>1366</v>
      </c>
      <c r="K44" t="str">
        <f t="shared" si="5"/>
        <v>{ file:'2.16.840.1.113883.10.20.22.4.119.html', href:'https://hl7.org/cda/us/ccda/Binary-allergy-intolerance-observation-nonmedication-example.html', text:'allergy-intolerance-observation-nonmedication-example' },</v>
      </c>
    </row>
    <row r="45" spans="1:11" x14ac:dyDescent="0.25">
      <c r="A45" t="s">
        <v>1144</v>
      </c>
      <c r="B45" t="s">
        <v>43</v>
      </c>
      <c r="C45">
        <f t="shared" si="0"/>
        <v>16</v>
      </c>
      <c r="D45">
        <f t="shared" si="1"/>
        <v>54</v>
      </c>
      <c r="E45">
        <f t="shared" si="2"/>
        <v>54</v>
      </c>
      <c r="F45" t="s">
        <v>380</v>
      </c>
      <c r="G45">
        <f t="shared" si="3"/>
        <v>31</v>
      </c>
      <c r="H45" t="s">
        <v>628</v>
      </c>
      <c r="I45" t="str">
        <f t="shared" si="4"/>
        <v>https://hl7.org/cda/us/ccda/Binary-allergy-intolerance-observation-nonmedication-example.html</v>
      </c>
      <c r="J45" t="s">
        <v>1366</v>
      </c>
      <c r="K45" t="str">
        <f t="shared" si="5"/>
        <v>{ file:'2.16.840.1.113883.10.20.22.4.9.html', href:'https://hl7.org/cda/us/ccda/Binary-allergy-intolerance-observation-nonmedication-example.html', text:'allergy-intolerance-observation-nonmedication-example' },</v>
      </c>
    </row>
    <row r="46" spans="1:11" x14ac:dyDescent="0.25">
      <c r="A46" t="s">
        <v>1144</v>
      </c>
      <c r="B46" t="s">
        <v>44</v>
      </c>
      <c r="C46">
        <f t="shared" si="0"/>
        <v>18</v>
      </c>
      <c r="D46">
        <f t="shared" si="1"/>
        <v>56</v>
      </c>
      <c r="E46">
        <f t="shared" si="2"/>
        <v>56</v>
      </c>
      <c r="F46" t="s">
        <v>381</v>
      </c>
      <c r="G46">
        <f t="shared" si="3"/>
        <v>31</v>
      </c>
      <c r="H46" t="s">
        <v>629</v>
      </c>
      <c r="I46" t="str">
        <f t="shared" si="4"/>
        <v>https://hl7.org/cda/us/ccda/Binary-allergy-intolerance-observation-nonmedication-example.html</v>
      </c>
      <c r="J46" t="s">
        <v>1366</v>
      </c>
      <c r="K46" t="str">
        <f t="shared" si="5"/>
        <v>{ file:'2.16.840.1.113883.10.20.22.4.8.html', href:'https://hl7.org/cda/us/ccda/Binary-allergy-intolerance-observation-nonmedication-example.html', text:'allergy-intolerance-observation-nonmedication-example' },</v>
      </c>
    </row>
    <row r="47" spans="1:11" x14ac:dyDescent="0.25">
      <c r="A47" t="s">
        <v>1145</v>
      </c>
      <c r="B47" t="s">
        <v>45</v>
      </c>
      <c r="C47">
        <f t="shared" si="0"/>
        <v>14</v>
      </c>
      <c r="D47">
        <f t="shared" si="1"/>
        <v>54</v>
      </c>
      <c r="E47">
        <f t="shared" si="2"/>
        <v>54</v>
      </c>
      <c r="F47" t="s">
        <v>376</v>
      </c>
      <c r="G47">
        <f t="shared" si="3"/>
        <v>33</v>
      </c>
      <c r="H47" t="s">
        <v>624</v>
      </c>
      <c r="I47" t="str">
        <f t="shared" si="4"/>
        <v>https://hl7.org/cda/us/ccda/Binary-allergy-to-food-egg.html</v>
      </c>
      <c r="J47" t="s">
        <v>1367</v>
      </c>
      <c r="K47" t="str">
        <f t="shared" si="5"/>
        <v>{ file:'2.16.840.1.113883.10.20.22.2.6.1.html', href:'https://hl7.org/cda/us/ccda/Binary-allergy-to-food-egg.html', text:'allergy-to-food-egg' },</v>
      </c>
    </row>
    <row r="48" spans="1:11" x14ac:dyDescent="0.25">
      <c r="A48" t="s">
        <v>1145</v>
      </c>
      <c r="B48" t="s">
        <v>46</v>
      </c>
      <c r="C48">
        <f t="shared" si="0"/>
        <v>16</v>
      </c>
      <c r="D48">
        <f t="shared" si="1"/>
        <v>55</v>
      </c>
      <c r="E48">
        <f t="shared" si="2"/>
        <v>55</v>
      </c>
      <c r="F48" t="s">
        <v>377</v>
      </c>
      <c r="G48">
        <f t="shared" si="3"/>
        <v>32</v>
      </c>
      <c r="H48" t="s">
        <v>625</v>
      </c>
      <c r="I48" t="str">
        <f t="shared" si="4"/>
        <v>https://hl7.org/cda/us/ccda/Binary-allergy-to-food-egg.html</v>
      </c>
      <c r="J48" t="s">
        <v>1367</v>
      </c>
      <c r="K48" t="str">
        <f t="shared" si="5"/>
        <v>{ file:'2.16.840.1.113883.10.20.22.4.30.html', href:'https://hl7.org/cda/us/ccda/Binary-allergy-to-food-egg.html', text:'allergy-to-food-egg' },</v>
      </c>
    </row>
    <row r="49" spans="1:11" x14ac:dyDescent="0.25">
      <c r="A49" t="s">
        <v>1145</v>
      </c>
      <c r="B49" t="s">
        <v>47</v>
      </c>
      <c r="C49">
        <f t="shared" si="0"/>
        <v>17</v>
      </c>
      <c r="D49" t="e">
        <f t="shared" si="1"/>
        <v>#VALUE!</v>
      </c>
      <c r="E49">
        <f t="shared" si="2"/>
        <v>100</v>
      </c>
      <c r="F49" t="s">
        <v>383</v>
      </c>
      <c r="G49">
        <f t="shared" si="3"/>
        <v>33</v>
      </c>
      <c r="H49" t="s">
        <v>620</v>
      </c>
      <c r="I49" t="str">
        <f t="shared" si="4"/>
        <v>https://hl7.org/cda/us/ccda/Binary-allergy-to-food-egg.html</v>
      </c>
      <c r="J49" t="s">
        <v>1367</v>
      </c>
      <c r="K49" t="str">
        <f t="shared" si="5"/>
        <v>{ file:'2.16.840.1.113883.10.20.22.4.119.html', href:'https://hl7.org/cda/us/ccda/Binary-allergy-to-food-egg.html', text:'allergy-to-food-egg' },</v>
      </c>
    </row>
    <row r="50" spans="1:11" x14ac:dyDescent="0.25">
      <c r="A50" t="s">
        <v>1145</v>
      </c>
      <c r="B50" t="s">
        <v>48</v>
      </c>
      <c r="C50">
        <f t="shared" si="0"/>
        <v>18</v>
      </c>
      <c r="D50">
        <f t="shared" si="1"/>
        <v>56</v>
      </c>
      <c r="E50">
        <f t="shared" si="2"/>
        <v>56</v>
      </c>
      <c r="F50" t="s">
        <v>378</v>
      </c>
      <c r="G50">
        <f t="shared" si="3"/>
        <v>31</v>
      </c>
      <c r="H50" t="s">
        <v>626</v>
      </c>
      <c r="I50" t="str">
        <f t="shared" si="4"/>
        <v>https://hl7.org/cda/us/ccda/Binary-allergy-to-food-egg.html</v>
      </c>
      <c r="J50" t="s">
        <v>1367</v>
      </c>
      <c r="K50" t="str">
        <f t="shared" si="5"/>
        <v>{ file:'2.16.840.1.113883.10.20.22.4.7.html', href:'https://hl7.org/cda/us/ccda/Binary-allergy-to-food-egg.html', text:'allergy-to-food-egg' },</v>
      </c>
    </row>
    <row r="51" spans="1:11" x14ac:dyDescent="0.25">
      <c r="A51" t="s">
        <v>1145</v>
      </c>
      <c r="B51" t="s">
        <v>49</v>
      </c>
      <c r="C51">
        <f t="shared" si="0"/>
        <v>18</v>
      </c>
      <c r="D51">
        <f t="shared" si="1"/>
        <v>57</v>
      </c>
      <c r="E51">
        <f t="shared" si="2"/>
        <v>57</v>
      </c>
      <c r="F51" t="s">
        <v>379</v>
      </c>
      <c r="G51">
        <f t="shared" si="3"/>
        <v>32</v>
      </c>
      <c r="H51" t="s">
        <v>627</v>
      </c>
      <c r="I51" t="str">
        <f t="shared" si="4"/>
        <v>https://hl7.org/cda/us/ccda/Binary-allergy-to-food-egg.html</v>
      </c>
      <c r="J51" t="s">
        <v>1367</v>
      </c>
      <c r="K51" t="str">
        <f t="shared" si="5"/>
        <v>{ file:'2.16.840.1.113883.10.20.24.3.90.html', href:'https://hl7.org/cda/us/ccda/Binary-allergy-to-food-egg.html', text:'allergy-to-food-egg' },</v>
      </c>
    </row>
    <row r="52" spans="1:11" x14ac:dyDescent="0.25">
      <c r="A52" t="s">
        <v>1145</v>
      </c>
      <c r="B52" t="s">
        <v>50</v>
      </c>
      <c r="C52">
        <f t="shared" si="0"/>
        <v>19</v>
      </c>
      <c r="D52" t="e">
        <f t="shared" si="1"/>
        <v>#VALUE!</v>
      </c>
      <c r="E52">
        <f t="shared" si="2"/>
        <v>100</v>
      </c>
      <c r="F52" t="s">
        <v>383</v>
      </c>
      <c r="G52">
        <f t="shared" si="3"/>
        <v>33</v>
      </c>
      <c r="H52" t="s">
        <v>620</v>
      </c>
      <c r="I52" t="str">
        <f t="shared" si="4"/>
        <v>https://hl7.org/cda/us/ccda/Binary-allergy-to-food-egg.html</v>
      </c>
      <c r="J52" t="s">
        <v>1367</v>
      </c>
      <c r="K52" t="str">
        <f t="shared" si="5"/>
        <v>{ file:'2.16.840.1.113883.10.20.22.4.119.html', href:'https://hl7.org/cda/us/ccda/Binary-allergy-to-food-egg.html', text:'allergy-to-food-egg' },</v>
      </c>
    </row>
    <row r="53" spans="1:11" x14ac:dyDescent="0.25">
      <c r="A53" t="s">
        <v>1145</v>
      </c>
      <c r="B53" t="s">
        <v>51</v>
      </c>
      <c r="C53">
        <f t="shared" si="0"/>
        <v>20</v>
      </c>
      <c r="D53">
        <f t="shared" si="1"/>
        <v>58</v>
      </c>
      <c r="E53">
        <f t="shared" si="2"/>
        <v>58</v>
      </c>
      <c r="F53" t="s">
        <v>380</v>
      </c>
      <c r="G53">
        <f t="shared" si="3"/>
        <v>31</v>
      </c>
      <c r="H53" t="s">
        <v>628</v>
      </c>
      <c r="I53" t="str">
        <f t="shared" si="4"/>
        <v>https://hl7.org/cda/us/ccda/Binary-allergy-to-food-egg.html</v>
      </c>
      <c r="J53" t="s">
        <v>1367</v>
      </c>
      <c r="K53" t="str">
        <f t="shared" si="5"/>
        <v>{ file:'2.16.840.1.113883.10.20.22.4.9.html', href:'https://hl7.org/cda/us/ccda/Binary-allergy-to-food-egg.html', text:'allergy-to-food-egg' },</v>
      </c>
    </row>
    <row r="54" spans="1:11" x14ac:dyDescent="0.25">
      <c r="A54" t="s">
        <v>1145</v>
      </c>
      <c r="B54" t="s">
        <v>52</v>
      </c>
      <c r="C54">
        <f t="shared" si="0"/>
        <v>22</v>
      </c>
      <c r="D54">
        <f t="shared" si="1"/>
        <v>60</v>
      </c>
      <c r="E54">
        <f t="shared" si="2"/>
        <v>60</v>
      </c>
      <c r="F54" t="s">
        <v>381</v>
      </c>
      <c r="G54">
        <f t="shared" si="3"/>
        <v>31</v>
      </c>
      <c r="H54" t="s">
        <v>629</v>
      </c>
      <c r="I54" t="str">
        <f t="shared" si="4"/>
        <v>https://hl7.org/cda/us/ccda/Binary-allergy-to-food-egg.html</v>
      </c>
      <c r="J54" t="s">
        <v>1367</v>
      </c>
      <c r="K54" t="str">
        <f t="shared" si="5"/>
        <v>{ file:'2.16.840.1.113883.10.20.22.4.8.html', href:'https://hl7.org/cda/us/ccda/Binary-allergy-to-food-egg.html', text:'allergy-to-food-egg' },</v>
      </c>
    </row>
    <row r="55" spans="1:11" x14ac:dyDescent="0.25">
      <c r="A55" t="s">
        <v>1146</v>
      </c>
      <c r="B55" t="s">
        <v>24</v>
      </c>
      <c r="C55">
        <f t="shared" si="0"/>
        <v>13</v>
      </c>
      <c r="D55">
        <f t="shared" si="1"/>
        <v>52</v>
      </c>
      <c r="E55">
        <f t="shared" si="2"/>
        <v>52</v>
      </c>
      <c r="F55" t="s">
        <v>384</v>
      </c>
      <c r="G55">
        <f t="shared" si="3"/>
        <v>32</v>
      </c>
      <c r="H55" t="s">
        <v>631</v>
      </c>
      <c r="I55" t="str">
        <f t="shared" si="4"/>
        <v>https://hl7.org/cda/us/ccda/Binary-anesthesia-section-example.html</v>
      </c>
      <c r="J55" t="s">
        <v>1368</v>
      </c>
      <c r="K55" t="str">
        <f t="shared" si="5"/>
        <v>{ file:'2.16.840.1.113883.10.20.22.2.25.html', href:'https://hl7.org/cda/us/ccda/Binary-anesthesia-section-example.html', text:'anesthesia-section-example' },</v>
      </c>
    </row>
    <row r="56" spans="1:11" x14ac:dyDescent="0.25">
      <c r="A56" t="s">
        <v>1146</v>
      </c>
      <c r="B56" t="s">
        <v>139</v>
      </c>
      <c r="C56">
        <f t="shared" si="0"/>
        <v>13</v>
      </c>
      <c r="D56">
        <f t="shared" si="1"/>
        <v>52</v>
      </c>
      <c r="E56">
        <f t="shared" si="2"/>
        <v>52</v>
      </c>
      <c r="F56" t="s">
        <v>385</v>
      </c>
      <c r="G56">
        <f t="shared" si="3"/>
        <v>32</v>
      </c>
      <c r="H56" t="s">
        <v>632</v>
      </c>
      <c r="I56" t="str">
        <f t="shared" si="4"/>
        <v>https://hl7.org/cda/us/ccda/Binary-anesthesia-section-example.html</v>
      </c>
      <c r="J56" t="s">
        <v>1368</v>
      </c>
      <c r="K56" t="str">
        <f t="shared" si="5"/>
        <v>{ file:'2.16.840.1.113883.10.20.22.4.14.html', href:'https://hl7.org/cda/us/ccda/Binary-anesthesia-section-example.html', text:'anesthesia-section-example' },</v>
      </c>
    </row>
    <row r="57" spans="1:11" x14ac:dyDescent="0.25">
      <c r="A57" t="s">
        <v>1146</v>
      </c>
      <c r="B57" t="s">
        <v>140</v>
      </c>
      <c r="C57">
        <f t="shared" si="0"/>
        <v>13</v>
      </c>
      <c r="D57">
        <f t="shared" si="1"/>
        <v>52</v>
      </c>
      <c r="E57">
        <f t="shared" si="2"/>
        <v>52</v>
      </c>
      <c r="F57" t="s">
        <v>386</v>
      </c>
      <c r="G57">
        <f t="shared" si="3"/>
        <v>32</v>
      </c>
      <c r="H57" t="s">
        <v>615</v>
      </c>
      <c r="I57" t="str">
        <f t="shared" si="4"/>
        <v>https://hl7.org/cda/us/ccda/Binary-anesthesia-section-example.html</v>
      </c>
      <c r="J57" t="s">
        <v>1368</v>
      </c>
      <c r="K57" t="str">
        <f t="shared" si="5"/>
        <v>{ file:'2.16.840.1.113883.10.20.22.4.16.html', href:'https://hl7.org/cda/us/ccda/Binary-anesthesia-section-example.html', text:'anesthesia-section-example' },</v>
      </c>
    </row>
    <row r="58" spans="1:11" x14ac:dyDescent="0.25">
      <c r="A58" t="s">
        <v>1147</v>
      </c>
      <c r="B58" t="s">
        <v>35</v>
      </c>
      <c r="C58">
        <f t="shared" si="0"/>
        <v>13</v>
      </c>
      <c r="D58">
        <f t="shared" si="1"/>
        <v>51</v>
      </c>
      <c r="E58">
        <f t="shared" si="2"/>
        <v>51</v>
      </c>
      <c r="F58" t="s">
        <v>387</v>
      </c>
      <c r="G58">
        <f t="shared" si="3"/>
        <v>31</v>
      </c>
      <c r="H58" t="s">
        <v>633</v>
      </c>
      <c r="I58" t="str">
        <f t="shared" si="4"/>
        <v>https://hl7.org/cda/us/ccda/Binary-assessment-and-plan-section-example.html</v>
      </c>
      <c r="J58" t="s">
        <v>1369</v>
      </c>
      <c r="K58" t="str">
        <f t="shared" si="5"/>
        <v>{ file:'2.16.840.1.113883.10.20.22.2.9.html', href:'https://hl7.org/cda/us/ccda/Binary-assessment-and-plan-section-example.html', text:'assessment-and-plan-section-example' },</v>
      </c>
    </row>
    <row r="59" spans="1:11" x14ac:dyDescent="0.25">
      <c r="A59" t="s">
        <v>1147</v>
      </c>
      <c r="B59" t="s">
        <v>141</v>
      </c>
      <c r="C59">
        <f t="shared" si="0"/>
        <v>13</v>
      </c>
      <c r="D59">
        <f t="shared" si="1"/>
        <v>52</v>
      </c>
      <c r="E59">
        <f t="shared" si="2"/>
        <v>52</v>
      </c>
      <c r="F59" t="s">
        <v>388</v>
      </c>
      <c r="G59">
        <f t="shared" si="3"/>
        <v>32</v>
      </c>
      <c r="H59" t="s">
        <v>634</v>
      </c>
      <c r="I59" t="str">
        <f t="shared" si="4"/>
        <v>https://hl7.org/cda/us/ccda/Binary-assessment-and-plan-section-example.html</v>
      </c>
      <c r="J59" t="s">
        <v>1369</v>
      </c>
      <c r="K59" t="str">
        <f t="shared" si="5"/>
        <v>{ file:'2.16.840.1.113883.10.20.22.4.41.html', href:'https://hl7.org/cda/us/ccda/Binary-assessment-and-plan-section-example.html', text:'assessment-and-plan-section-example' },</v>
      </c>
    </row>
    <row r="60" spans="1:11" x14ac:dyDescent="0.25">
      <c r="A60" t="s">
        <v>1147</v>
      </c>
      <c r="B60" t="s">
        <v>132</v>
      </c>
      <c r="C60">
        <f t="shared" si="0"/>
        <v>16</v>
      </c>
      <c r="D60" t="e">
        <f t="shared" si="1"/>
        <v>#VALUE!</v>
      </c>
      <c r="E60">
        <f t="shared" si="2"/>
        <v>100</v>
      </c>
      <c r="F60" t="s">
        <v>372</v>
      </c>
      <c r="G60">
        <f t="shared" si="3"/>
        <v>33</v>
      </c>
      <c r="H60" t="s">
        <v>620</v>
      </c>
      <c r="I60" t="str">
        <f t="shared" si="4"/>
        <v>https://hl7.org/cda/us/ccda/Binary-assessment-and-plan-section-example.html</v>
      </c>
      <c r="J60" t="s">
        <v>1369</v>
      </c>
      <c r="K60" t="str">
        <f t="shared" si="5"/>
        <v>{ file:'2.16.840.1.113883.10.20.22.4.119.html', href:'https://hl7.org/cda/us/ccda/Binary-assessment-and-plan-section-example.html', text:'assessment-and-plan-section-example' },</v>
      </c>
    </row>
    <row r="61" spans="1:11" x14ac:dyDescent="0.25">
      <c r="A61" t="s">
        <v>1148</v>
      </c>
      <c r="B61" t="s">
        <v>11</v>
      </c>
      <c r="C61">
        <f t="shared" si="0"/>
        <v>13</v>
      </c>
      <c r="D61">
        <f t="shared" si="1"/>
        <v>52</v>
      </c>
      <c r="E61">
        <f t="shared" si="2"/>
        <v>52</v>
      </c>
      <c r="F61" t="s">
        <v>389</v>
      </c>
      <c r="G61">
        <f t="shared" si="3"/>
        <v>32</v>
      </c>
      <c r="H61" t="s">
        <v>635</v>
      </c>
      <c r="I61" t="str">
        <f t="shared" si="4"/>
        <v>https://hl7.org/cda/us/ccda/Binary-assessment-scale-observation-example.html</v>
      </c>
      <c r="J61" t="s">
        <v>1370</v>
      </c>
      <c r="K61" t="str">
        <f t="shared" si="5"/>
        <v>{ file:'2.16.840.1.113883.10.20.22.4.69.html', href:'https://hl7.org/cda/us/ccda/Binary-assessment-scale-observation-example.html', text:'assessment-scale-observation-example' },</v>
      </c>
    </row>
    <row r="62" spans="1:11" x14ac:dyDescent="0.25">
      <c r="A62" t="s">
        <v>1148</v>
      </c>
      <c r="B62" t="s">
        <v>12</v>
      </c>
      <c r="C62">
        <f t="shared" si="0"/>
        <v>13</v>
      </c>
      <c r="D62">
        <f t="shared" si="1"/>
        <v>52</v>
      </c>
      <c r="E62">
        <f t="shared" si="2"/>
        <v>52</v>
      </c>
      <c r="F62" t="s">
        <v>390</v>
      </c>
      <c r="G62">
        <f t="shared" si="3"/>
        <v>32</v>
      </c>
      <c r="H62" t="s">
        <v>636</v>
      </c>
      <c r="I62" t="str">
        <f t="shared" si="4"/>
        <v>https://hl7.org/cda/us/ccda/Binary-assessment-scale-observation-example.html</v>
      </c>
      <c r="J62" t="s">
        <v>1370</v>
      </c>
      <c r="K62" t="str">
        <f t="shared" si="5"/>
        <v>{ file:'2.16.840.1.113883.10.20.22.4.86.html', href:'https://hl7.org/cda/us/ccda/Binary-assessment-scale-observation-example.html', text:'assessment-scale-observation-example' },</v>
      </c>
    </row>
    <row r="63" spans="1:11" x14ac:dyDescent="0.25">
      <c r="A63" t="s">
        <v>1149</v>
      </c>
      <c r="B63" t="s">
        <v>12</v>
      </c>
      <c r="C63">
        <f t="shared" si="0"/>
        <v>13</v>
      </c>
      <c r="D63">
        <f t="shared" si="1"/>
        <v>52</v>
      </c>
      <c r="E63">
        <f t="shared" si="2"/>
        <v>52</v>
      </c>
      <c r="F63" t="s">
        <v>390</v>
      </c>
      <c r="G63">
        <f t="shared" si="3"/>
        <v>32</v>
      </c>
      <c r="H63" t="s">
        <v>636</v>
      </c>
      <c r="I63" t="str">
        <f t="shared" si="4"/>
        <v>https://hl7.org/cda/us/ccda/Binary-assessment-scale-supporting-observation-example.html</v>
      </c>
      <c r="J63" t="s">
        <v>1371</v>
      </c>
      <c r="K63" t="str">
        <f t="shared" si="5"/>
        <v>{ file:'2.16.840.1.113883.10.20.22.4.86.html', href:'https://hl7.org/cda/us/ccda/Binary-assessment-scale-supporting-observation-example.html', text:'assessment-scale-supporting-observation-example' },</v>
      </c>
    </row>
    <row r="64" spans="1:11" x14ac:dyDescent="0.25">
      <c r="A64" t="s">
        <v>1150</v>
      </c>
      <c r="B64" t="s">
        <v>37</v>
      </c>
      <c r="C64">
        <f t="shared" si="0"/>
        <v>13</v>
      </c>
      <c r="D64" t="e">
        <f t="shared" si="1"/>
        <v>#VALUE!</v>
      </c>
      <c r="E64">
        <f t="shared" si="2"/>
        <v>100</v>
      </c>
      <c r="F64" t="s">
        <v>391</v>
      </c>
      <c r="G64">
        <f t="shared" si="3"/>
        <v>31</v>
      </c>
      <c r="H64" t="s">
        <v>637</v>
      </c>
      <c r="I64" t="str">
        <f t="shared" si="4"/>
        <v>https://hl7.org/cda/us/ccda/Binary-assessment-section-example.html</v>
      </c>
      <c r="J64" t="s">
        <v>1372</v>
      </c>
      <c r="K64" t="str">
        <f t="shared" si="5"/>
        <v>{ file:'2.16.840.1.113883.10.20.22.2.8.html', href:'https://hl7.org/cda/us/ccda/Binary-assessment-section-example.html', text:'assessment-section-example' },</v>
      </c>
    </row>
    <row r="65" spans="1:11" x14ac:dyDescent="0.25">
      <c r="A65" t="s">
        <v>1151</v>
      </c>
      <c r="B65" t="s">
        <v>142</v>
      </c>
      <c r="C65">
        <f t="shared" si="0"/>
        <v>13</v>
      </c>
      <c r="D65" t="e">
        <f t="shared" si="1"/>
        <v>#VALUE!</v>
      </c>
      <c r="E65">
        <f t="shared" si="2"/>
        <v>100</v>
      </c>
      <c r="F65" t="s">
        <v>392</v>
      </c>
      <c r="G65">
        <f t="shared" si="3"/>
        <v>29</v>
      </c>
      <c r="H65" t="s">
        <v>638</v>
      </c>
      <c r="I65" t="str">
        <f t="shared" si="4"/>
        <v>https://hl7.org/cda/us/ccda/Binary-authorization-activity-example.html</v>
      </c>
      <c r="J65" t="s">
        <v>1373</v>
      </c>
      <c r="K65" t="str">
        <f t="shared" si="5"/>
        <v>{ file:'2.16.840.1.113883.10.20.1.19.html', href:'https://hl7.org/cda/us/ccda/Binary-authorization-activity-example.html', text:'authorization-activity-example' },</v>
      </c>
    </row>
    <row r="66" spans="1:11" x14ac:dyDescent="0.25">
      <c r="A66" t="s">
        <v>1152</v>
      </c>
      <c r="B66" t="s">
        <v>143</v>
      </c>
      <c r="C66">
        <f t="shared" si="0"/>
        <v>13</v>
      </c>
      <c r="D66">
        <f t="shared" si="1"/>
        <v>53</v>
      </c>
      <c r="E66">
        <f t="shared" si="2"/>
        <v>53</v>
      </c>
      <c r="F66" t="s">
        <v>393</v>
      </c>
      <c r="G66">
        <f t="shared" si="3"/>
        <v>33</v>
      </c>
      <c r="H66" t="s">
        <v>639</v>
      </c>
      <c r="I66" t="str">
        <f t="shared" si="4"/>
        <v>https://hl7.org/cda/us/ccda/Binary-average-bp-example.html</v>
      </c>
      <c r="J66" t="s">
        <v>1374</v>
      </c>
      <c r="K66" t="str">
        <f t="shared" si="5"/>
        <v>{ file:'2.16.840.1.113883.10.20.22.4.512.html', href:'https://hl7.org/cda/us/ccda/Binary-average-bp-example.html', text:'average-bp-example' },</v>
      </c>
    </row>
    <row r="67" spans="1:11" x14ac:dyDescent="0.25">
      <c r="A67" t="s">
        <v>1152</v>
      </c>
      <c r="B67" t="s">
        <v>144</v>
      </c>
      <c r="C67">
        <f t="shared" ref="C67:C130" si="6">FIND("root=",B67,1)</f>
        <v>13</v>
      </c>
      <c r="D67">
        <f t="shared" ref="D67:D130" si="7">FIND("extension",B67,1)</f>
        <v>52</v>
      </c>
      <c r="E67">
        <f t="shared" ref="E67:E130" si="8">IF(ISERR(D67),100,D67)</f>
        <v>52</v>
      </c>
      <c r="F67" t="s">
        <v>394</v>
      </c>
      <c r="G67">
        <f t="shared" ref="G67:G130" si="9">FIND("/",F67,1)</f>
        <v>32</v>
      </c>
      <c r="H67" t="s">
        <v>640</v>
      </c>
      <c r="I67" t="str">
        <f t="shared" ref="I67:I130" si="10">"https://hl7.org/cda/us/ccda/Binary-"&amp;A67&amp;".html"</f>
        <v>https://hl7.org/cda/us/ccda/Binary-average-bp-example.html</v>
      </c>
      <c r="J67" t="s">
        <v>1374</v>
      </c>
      <c r="K67" t="str">
        <f t="shared" ref="K67:K130" si="11">"{ file:'"&amp;H67&amp;".html', href:'"&amp;I67&amp;"', text:'"&amp;A67&amp;"' },"</f>
        <v>{ file:'2.16.840.1.113883.10.20.22.4.27.html', href:'https://hl7.org/cda/us/ccda/Binary-average-bp-example.html', text:'average-bp-example' },</v>
      </c>
    </row>
    <row r="68" spans="1:11" x14ac:dyDescent="0.25">
      <c r="A68" t="s">
        <v>1152</v>
      </c>
      <c r="B68" t="s">
        <v>124</v>
      </c>
      <c r="C68">
        <f t="shared" si="6"/>
        <v>13</v>
      </c>
      <c r="D68" t="e">
        <f t="shared" si="7"/>
        <v>#VALUE!</v>
      </c>
      <c r="E68">
        <f t="shared" si="8"/>
        <v>100</v>
      </c>
      <c r="F68" t="s">
        <v>372</v>
      </c>
      <c r="G68">
        <f t="shared" si="9"/>
        <v>33</v>
      </c>
      <c r="H68" t="s">
        <v>620</v>
      </c>
      <c r="I68" t="str">
        <f t="shared" si="10"/>
        <v>https://hl7.org/cda/us/ccda/Binary-average-bp-example.html</v>
      </c>
      <c r="J68" t="s">
        <v>1374</v>
      </c>
      <c r="K68" t="str">
        <f t="shared" si="11"/>
        <v>{ file:'2.16.840.1.113883.10.20.22.4.119.html', href:'https://hl7.org/cda/us/ccda/Binary-average-bp-example.html', text:'average-bp-example' },</v>
      </c>
    </row>
    <row r="69" spans="1:11" x14ac:dyDescent="0.25">
      <c r="A69" t="s">
        <v>1152</v>
      </c>
      <c r="B69" t="s">
        <v>144</v>
      </c>
      <c r="C69">
        <f t="shared" si="6"/>
        <v>13</v>
      </c>
      <c r="D69">
        <f t="shared" si="7"/>
        <v>52</v>
      </c>
      <c r="E69">
        <f t="shared" si="8"/>
        <v>52</v>
      </c>
      <c r="F69" t="s">
        <v>394</v>
      </c>
      <c r="G69">
        <f t="shared" si="9"/>
        <v>32</v>
      </c>
      <c r="H69" t="s">
        <v>640</v>
      </c>
      <c r="I69" t="str">
        <f t="shared" si="10"/>
        <v>https://hl7.org/cda/us/ccda/Binary-average-bp-example.html</v>
      </c>
      <c r="J69" t="s">
        <v>1374</v>
      </c>
      <c r="K69" t="str">
        <f t="shared" si="11"/>
        <v>{ file:'2.16.840.1.113883.10.20.22.4.27.html', href:'https://hl7.org/cda/us/ccda/Binary-average-bp-example.html', text:'average-bp-example' },</v>
      </c>
    </row>
    <row r="70" spans="1:11" x14ac:dyDescent="0.25">
      <c r="A70" t="s">
        <v>1152</v>
      </c>
      <c r="B70" t="s">
        <v>124</v>
      </c>
      <c r="C70">
        <f t="shared" si="6"/>
        <v>13</v>
      </c>
      <c r="D70" t="e">
        <f t="shared" si="7"/>
        <v>#VALUE!</v>
      </c>
      <c r="E70">
        <f t="shared" si="8"/>
        <v>100</v>
      </c>
      <c r="F70" t="s">
        <v>372</v>
      </c>
      <c r="G70">
        <f t="shared" si="9"/>
        <v>33</v>
      </c>
      <c r="H70" t="s">
        <v>620</v>
      </c>
      <c r="I70" t="str">
        <f t="shared" si="10"/>
        <v>https://hl7.org/cda/us/ccda/Binary-average-bp-example.html</v>
      </c>
      <c r="J70" t="s">
        <v>1374</v>
      </c>
      <c r="K70" t="str">
        <f t="shared" si="11"/>
        <v>{ file:'2.16.840.1.113883.10.20.22.4.119.html', href:'https://hl7.org/cda/us/ccda/Binary-average-bp-example.html', text:'average-bp-example' },</v>
      </c>
    </row>
    <row r="71" spans="1:11" x14ac:dyDescent="0.25">
      <c r="A71" t="s">
        <v>1153</v>
      </c>
      <c r="B71" t="s">
        <v>145</v>
      </c>
      <c r="C71">
        <f t="shared" si="6"/>
        <v>13</v>
      </c>
      <c r="D71">
        <f t="shared" si="7"/>
        <v>52</v>
      </c>
      <c r="E71">
        <f t="shared" si="8"/>
        <v>52</v>
      </c>
      <c r="F71" t="s">
        <v>395</v>
      </c>
      <c r="G71">
        <f t="shared" si="9"/>
        <v>32</v>
      </c>
      <c r="H71" t="s">
        <v>641</v>
      </c>
      <c r="I71" t="str">
        <f t="shared" si="10"/>
        <v>https://hl7.org/cda/us/ccda/Binary-basic-industry-observation-example.html</v>
      </c>
      <c r="J71" t="s">
        <v>1375</v>
      </c>
      <c r="K71" t="str">
        <f t="shared" si="11"/>
        <v>{ file:'2.16.840.1.113883.10.20.22.4.38.html', href:'https://hl7.org/cda/us/ccda/Binary-basic-industry-observation-example.html', text:'basic-industry-observation-example' },</v>
      </c>
    </row>
    <row r="72" spans="1:11" x14ac:dyDescent="0.25">
      <c r="A72" t="s">
        <v>1153</v>
      </c>
      <c r="B72" t="s">
        <v>146</v>
      </c>
      <c r="C72">
        <f t="shared" si="6"/>
        <v>13</v>
      </c>
      <c r="D72">
        <f t="shared" si="7"/>
        <v>53</v>
      </c>
      <c r="E72">
        <f t="shared" si="8"/>
        <v>53</v>
      </c>
      <c r="F72" t="s">
        <v>396</v>
      </c>
      <c r="G72">
        <f t="shared" si="9"/>
        <v>33</v>
      </c>
      <c r="H72" t="s">
        <v>642</v>
      </c>
      <c r="I72" t="str">
        <f t="shared" si="10"/>
        <v>https://hl7.org/cda/us/ccda/Binary-basic-industry-observation-example.html</v>
      </c>
      <c r="J72" t="s">
        <v>1375</v>
      </c>
      <c r="K72" t="str">
        <f t="shared" si="11"/>
        <v>{ file:'2.16.840.1.113883.10.20.22.4.504.html', href:'https://hl7.org/cda/us/ccda/Binary-basic-industry-observation-example.html', text:'basic-industry-observation-example' },</v>
      </c>
    </row>
    <row r="73" spans="1:11" x14ac:dyDescent="0.25">
      <c r="A73" t="s">
        <v>1153</v>
      </c>
      <c r="B73" t="s">
        <v>124</v>
      </c>
      <c r="C73">
        <f t="shared" si="6"/>
        <v>13</v>
      </c>
      <c r="D73" t="e">
        <f t="shared" si="7"/>
        <v>#VALUE!</v>
      </c>
      <c r="E73">
        <f t="shared" si="8"/>
        <v>100</v>
      </c>
      <c r="F73" t="s">
        <v>372</v>
      </c>
      <c r="G73">
        <f t="shared" si="9"/>
        <v>33</v>
      </c>
      <c r="H73" t="s">
        <v>620</v>
      </c>
      <c r="I73" t="str">
        <f t="shared" si="10"/>
        <v>https://hl7.org/cda/us/ccda/Binary-basic-industry-observation-example.html</v>
      </c>
      <c r="J73" t="s">
        <v>1375</v>
      </c>
      <c r="K73" t="str">
        <f t="shared" si="11"/>
        <v>{ file:'2.16.840.1.113883.10.20.22.4.119.html', href:'https://hl7.org/cda/us/ccda/Binary-basic-industry-observation-example.html', text:'basic-industry-observation-example' },</v>
      </c>
    </row>
    <row r="74" spans="1:11" x14ac:dyDescent="0.25">
      <c r="A74" t="s">
        <v>1154</v>
      </c>
      <c r="B74" t="s">
        <v>145</v>
      </c>
      <c r="C74">
        <f t="shared" si="6"/>
        <v>13</v>
      </c>
      <c r="D74">
        <f t="shared" si="7"/>
        <v>52</v>
      </c>
      <c r="E74">
        <f t="shared" si="8"/>
        <v>52</v>
      </c>
      <c r="F74" t="s">
        <v>395</v>
      </c>
      <c r="G74">
        <f t="shared" si="9"/>
        <v>32</v>
      </c>
      <c r="H74" t="s">
        <v>641</v>
      </c>
      <c r="I74" t="str">
        <f t="shared" si="10"/>
        <v>https://hl7.org/cda/us/ccda/Binary-basic-occupation-observation-example.html</v>
      </c>
      <c r="J74" t="s">
        <v>1376</v>
      </c>
      <c r="K74" t="str">
        <f t="shared" si="11"/>
        <v>{ file:'2.16.840.1.113883.10.20.22.4.38.html', href:'https://hl7.org/cda/us/ccda/Binary-basic-occupation-observation-example.html', text:'basic-occupation-observation-example' },</v>
      </c>
    </row>
    <row r="75" spans="1:11" x14ac:dyDescent="0.25">
      <c r="A75" t="s">
        <v>1154</v>
      </c>
      <c r="B75" t="s">
        <v>147</v>
      </c>
      <c r="C75">
        <f t="shared" si="6"/>
        <v>13</v>
      </c>
      <c r="D75">
        <f t="shared" si="7"/>
        <v>53</v>
      </c>
      <c r="E75">
        <f t="shared" si="8"/>
        <v>53</v>
      </c>
      <c r="F75" t="s">
        <v>397</v>
      </c>
      <c r="G75">
        <f t="shared" si="9"/>
        <v>33</v>
      </c>
      <c r="H75" t="s">
        <v>643</v>
      </c>
      <c r="I75" t="str">
        <f t="shared" si="10"/>
        <v>https://hl7.org/cda/us/ccda/Binary-basic-occupation-observation-example.html</v>
      </c>
      <c r="J75" t="s">
        <v>1376</v>
      </c>
      <c r="K75" t="str">
        <f t="shared" si="11"/>
        <v>{ file:'2.16.840.1.113883.10.20.22.4.503.html', href:'https://hl7.org/cda/us/ccda/Binary-basic-occupation-observation-example.html', text:'basic-occupation-observation-example' },</v>
      </c>
    </row>
    <row r="76" spans="1:11" x14ac:dyDescent="0.25">
      <c r="A76" t="s">
        <v>1154</v>
      </c>
      <c r="B76" t="s">
        <v>124</v>
      </c>
      <c r="C76">
        <f t="shared" si="6"/>
        <v>13</v>
      </c>
      <c r="D76" t="e">
        <f t="shared" si="7"/>
        <v>#VALUE!</v>
      </c>
      <c r="E76">
        <f t="shared" si="8"/>
        <v>100</v>
      </c>
      <c r="F76" t="s">
        <v>372</v>
      </c>
      <c r="G76">
        <f t="shared" si="9"/>
        <v>33</v>
      </c>
      <c r="H76" t="s">
        <v>620</v>
      </c>
      <c r="I76" t="str">
        <f t="shared" si="10"/>
        <v>https://hl7.org/cda/us/ccda/Binary-basic-occupation-observation-example.html</v>
      </c>
      <c r="J76" t="s">
        <v>1376</v>
      </c>
      <c r="K76" t="str">
        <f t="shared" si="11"/>
        <v>{ file:'2.16.840.1.113883.10.20.22.4.119.html', href:'https://hl7.org/cda/us/ccda/Binary-basic-occupation-observation-example.html', text:'basic-occupation-observation-example' },</v>
      </c>
    </row>
    <row r="77" spans="1:11" x14ac:dyDescent="0.25">
      <c r="A77" t="s">
        <v>1155</v>
      </c>
      <c r="B77" t="s">
        <v>148</v>
      </c>
      <c r="C77">
        <f t="shared" si="6"/>
        <v>13</v>
      </c>
      <c r="D77">
        <f t="shared" si="7"/>
        <v>53</v>
      </c>
      <c r="E77">
        <f t="shared" si="8"/>
        <v>53</v>
      </c>
      <c r="F77" t="s">
        <v>398</v>
      </c>
      <c r="G77">
        <f t="shared" si="9"/>
        <v>33</v>
      </c>
      <c r="H77" t="s">
        <v>644</v>
      </c>
      <c r="I77" t="str">
        <f t="shared" si="10"/>
        <v>https://hl7.org/cda/us/ccda/Binary-birth-sex-example-nullflavor.html</v>
      </c>
      <c r="J77" t="s">
        <v>1377</v>
      </c>
      <c r="K77" t="str">
        <f t="shared" si="11"/>
        <v>{ file:'2.16.840.1.113883.10.20.22.4.200.html', href:'https://hl7.org/cda/us/ccda/Binary-birth-sex-example-nullflavor.html', text:'birth-sex-example-nullflavor' },</v>
      </c>
    </row>
    <row r="78" spans="1:11" x14ac:dyDescent="0.25">
      <c r="A78" t="s">
        <v>1156</v>
      </c>
      <c r="B78" t="s">
        <v>148</v>
      </c>
      <c r="C78">
        <f t="shared" si="6"/>
        <v>13</v>
      </c>
      <c r="D78">
        <f t="shared" si="7"/>
        <v>53</v>
      </c>
      <c r="E78">
        <f t="shared" si="8"/>
        <v>53</v>
      </c>
      <c r="F78" t="s">
        <v>398</v>
      </c>
      <c r="G78">
        <f t="shared" si="9"/>
        <v>33</v>
      </c>
      <c r="H78" t="s">
        <v>644</v>
      </c>
      <c r="I78" t="str">
        <f t="shared" si="10"/>
        <v>https://hl7.org/cda/us/ccda/Binary-birth-sex-example.html</v>
      </c>
      <c r="J78" t="s">
        <v>1378</v>
      </c>
      <c r="K78" t="str">
        <f t="shared" si="11"/>
        <v>{ file:'2.16.840.1.113883.10.20.22.4.200.html', href:'https://hl7.org/cda/us/ccda/Binary-birth-sex-example.html', text:'birth-sex-example' },</v>
      </c>
    </row>
    <row r="79" spans="1:11" x14ac:dyDescent="0.25">
      <c r="A79" t="s">
        <v>1156</v>
      </c>
      <c r="B79" t="s">
        <v>124</v>
      </c>
      <c r="C79">
        <f t="shared" si="6"/>
        <v>13</v>
      </c>
      <c r="D79" t="e">
        <f t="shared" si="7"/>
        <v>#VALUE!</v>
      </c>
      <c r="E79">
        <f t="shared" si="8"/>
        <v>100</v>
      </c>
      <c r="F79" t="s">
        <v>372</v>
      </c>
      <c r="G79">
        <f t="shared" si="9"/>
        <v>33</v>
      </c>
      <c r="H79" t="s">
        <v>620</v>
      </c>
      <c r="I79" t="str">
        <f t="shared" si="10"/>
        <v>https://hl7.org/cda/us/ccda/Binary-birth-sex-example.html</v>
      </c>
      <c r="J79" t="s">
        <v>1378</v>
      </c>
      <c r="K79" t="str">
        <f t="shared" si="11"/>
        <v>{ file:'2.16.840.1.113883.10.20.22.4.119.html', href:'https://hl7.org/cda/us/ccda/Binary-birth-sex-example.html', text:'birth-sex-example' },</v>
      </c>
    </row>
    <row r="80" spans="1:11" x14ac:dyDescent="0.25">
      <c r="A80" t="s">
        <v>1157</v>
      </c>
      <c r="B80" t="s">
        <v>149</v>
      </c>
      <c r="C80">
        <f t="shared" si="6"/>
        <v>13</v>
      </c>
      <c r="D80">
        <f t="shared" si="7"/>
        <v>53</v>
      </c>
      <c r="E80">
        <f t="shared" si="8"/>
        <v>53</v>
      </c>
      <c r="F80" t="s">
        <v>399</v>
      </c>
      <c r="G80">
        <f t="shared" si="9"/>
        <v>33</v>
      </c>
      <c r="H80" t="s">
        <v>645</v>
      </c>
      <c r="I80" t="str">
        <f t="shared" si="10"/>
        <v>https://hl7.org/cda/us/ccda/Binary-brand-name-observation-example.html</v>
      </c>
      <c r="J80" t="s">
        <v>1379</v>
      </c>
      <c r="K80" t="str">
        <f t="shared" si="11"/>
        <v>{ file:'2.16.840.1.113883.10.20.22.4.301.html', href:'https://hl7.org/cda/us/ccda/Binary-brand-name-observation-example.html', text:'brand-name-observation-example' },</v>
      </c>
    </row>
    <row r="81" spans="1:11" x14ac:dyDescent="0.25">
      <c r="A81" t="s">
        <v>1158</v>
      </c>
      <c r="B81" t="s">
        <v>5</v>
      </c>
      <c r="C81">
        <f t="shared" si="6"/>
        <v>13</v>
      </c>
      <c r="D81">
        <f t="shared" si="7"/>
        <v>51</v>
      </c>
      <c r="E81">
        <f t="shared" si="8"/>
        <v>51</v>
      </c>
      <c r="F81" t="s">
        <v>400</v>
      </c>
      <c r="G81">
        <f t="shared" si="9"/>
        <v>31</v>
      </c>
      <c r="H81" t="s">
        <v>646</v>
      </c>
      <c r="I81" t="str">
        <f t="shared" si="10"/>
        <v>https://hl7.org/cda/us/ccda/Binary-care-plan-complete-example.html</v>
      </c>
      <c r="J81" t="s">
        <v>1380</v>
      </c>
      <c r="K81" t="str">
        <f t="shared" si="11"/>
        <v>{ file:'2.16.840.1.113883.10.20.22.1.1.html', href:'https://hl7.org/cda/us/ccda/Binary-care-plan-complete-example.html', text:'care-plan-complete-example' },</v>
      </c>
    </row>
    <row r="82" spans="1:11" x14ac:dyDescent="0.25">
      <c r="A82" t="s">
        <v>1158</v>
      </c>
      <c r="B82" t="s">
        <v>53</v>
      </c>
      <c r="C82">
        <f t="shared" si="6"/>
        <v>14</v>
      </c>
      <c r="D82">
        <f t="shared" si="7"/>
        <v>53</v>
      </c>
      <c r="E82">
        <f t="shared" si="8"/>
        <v>53</v>
      </c>
      <c r="F82" t="s">
        <v>401</v>
      </c>
      <c r="G82">
        <f t="shared" si="9"/>
        <v>32</v>
      </c>
      <c r="H82" t="s">
        <v>647</v>
      </c>
      <c r="I82" t="str">
        <f t="shared" si="10"/>
        <v>https://hl7.org/cda/us/ccda/Binary-care-plan-complete-example.html</v>
      </c>
      <c r="J82" t="s">
        <v>1380</v>
      </c>
      <c r="K82" t="str">
        <f t="shared" si="11"/>
        <v>{ file:'2.16.840.1.113883.10.20.22.1.15.html', href:'https://hl7.org/cda/us/ccda/Binary-care-plan-complete-example.html', text:'care-plan-complete-example' },</v>
      </c>
    </row>
    <row r="83" spans="1:11" x14ac:dyDescent="0.25">
      <c r="A83" t="s">
        <v>1158</v>
      </c>
      <c r="B83" t="s">
        <v>54</v>
      </c>
      <c r="C83">
        <f t="shared" si="6"/>
        <v>18</v>
      </c>
      <c r="D83">
        <f t="shared" si="7"/>
        <v>57</v>
      </c>
      <c r="E83">
        <f t="shared" si="8"/>
        <v>57</v>
      </c>
      <c r="F83" t="s">
        <v>402</v>
      </c>
      <c r="G83">
        <f t="shared" si="9"/>
        <v>32</v>
      </c>
      <c r="H83" t="s">
        <v>648</v>
      </c>
      <c r="I83" t="str">
        <f t="shared" si="10"/>
        <v>https://hl7.org/cda/us/ccda/Binary-care-plan-complete-example.html</v>
      </c>
      <c r="J83" t="s">
        <v>1380</v>
      </c>
      <c r="K83" t="str">
        <f t="shared" si="11"/>
        <v>{ file:'2.16.840.1.113883.10.20.22.2.58.html', href:'https://hl7.org/cda/us/ccda/Binary-care-plan-complete-example.html', text:'care-plan-complete-example' },</v>
      </c>
    </row>
    <row r="84" spans="1:11" x14ac:dyDescent="0.25">
      <c r="A84" t="s">
        <v>1158</v>
      </c>
      <c r="B84" t="s">
        <v>55</v>
      </c>
      <c r="C84">
        <f t="shared" si="6"/>
        <v>18</v>
      </c>
      <c r="D84" t="e">
        <f t="shared" si="7"/>
        <v>#VALUE!</v>
      </c>
      <c r="E84">
        <f t="shared" si="8"/>
        <v>100</v>
      </c>
      <c r="F84" t="s">
        <v>403</v>
      </c>
      <c r="G84">
        <f t="shared" si="9"/>
        <v>32</v>
      </c>
      <c r="H84" t="s">
        <v>649</v>
      </c>
      <c r="I84" t="str">
        <f t="shared" si="10"/>
        <v>https://hl7.org/cda/us/ccda/Binary-care-plan-complete-example.html</v>
      </c>
      <c r="J84" t="s">
        <v>1380</v>
      </c>
      <c r="K84" t="str">
        <f t="shared" si="11"/>
        <v>{ file:'2.16.840.1.113883.10.20.22.2.60.html', href:'https://hl7.org/cda/us/ccda/Binary-care-plan-complete-example.html', text:'care-plan-complete-example' },</v>
      </c>
    </row>
    <row r="85" spans="1:11" x14ac:dyDescent="0.25">
      <c r="A85" t="s">
        <v>1158</v>
      </c>
      <c r="B85" t="s">
        <v>56</v>
      </c>
      <c r="C85">
        <f t="shared" si="6"/>
        <v>18</v>
      </c>
      <c r="D85" t="e">
        <f t="shared" si="7"/>
        <v>#VALUE!</v>
      </c>
      <c r="E85">
        <f t="shared" si="8"/>
        <v>100</v>
      </c>
      <c r="F85" t="s">
        <v>404</v>
      </c>
      <c r="G85">
        <f t="shared" si="9"/>
        <v>32</v>
      </c>
      <c r="H85" t="s">
        <v>650</v>
      </c>
      <c r="I85" t="str">
        <f t="shared" si="10"/>
        <v>https://hl7.org/cda/us/ccda/Binary-care-plan-complete-example.html</v>
      </c>
      <c r="J85" t="s">
        <v>1380</v>
      </c>
      <c r="K85" t="str">
        <f t="shared" si="11"/>
        <v>{ file:'2.16.840.1.113883.10.20.22.2.61.html', href:'https://hl7.org/cda/us/ccda/Binary-care-plan-complete-example.html', text:'care-plan-complete-example' },</v>
      </c>
    </row>
    <row r="86" spans="1:11" x14ac:dyDescent="0.25">
      <c r="A86" t="s">
        <v>1159</v>
      </c>
      <c r="B86" t="s">
        <v>150</v>
      </c>
      <c r="C86">
        <f t="shared" si="6"/>
        <v>13</v>
      </c>
      <c r="D86">
        <f t="shared" si="7"/>
        <v>55</v>
      </c>
      <c r="E86">
        <f t="shared" si="8"/>
        <v>55</v>
      </c>
      <c r="F86" t="s">
        <v>405</v>
      </c>
      <c r="G86">
        <f t="shared" si="9"/>
        <v>35</v>
      </c>
      <c r="H86" t="s">
        <v>651</v>
      </c>
      <c r="I86" t="str">
        <f t="shared" si="10"/>
        <v>https://hl7.org/cda/us/ccda/Binary-care-team-member-act-example.html</v>
      </c>
      <c r="J86" t="s">
        <v>1381</v>
      </c>
      <c r="K86" t="str">
        <f t="shared" si="11"/>
        <v>{ file:'2.16.840.1.113883.10.20.22.4.500.1.html', href:'https://hl7.org/cda/us/ccda/Binary-care-team-member-act-example.html', text:'care-team-member-act-example' },</v>
      </c>
    </row>
    <row r="87" spans="1:11" x14ac:dyDescent="0.25">
      <c r="A87" t="s">
        <v>1159</v>
      </c>
      <c r="B87" t="s">
        <v>151</v>
      </c>
      <c r="C87">
        <f t="shared" si="6"/>
        <v>13</v>
      </c>
      <c r="D87">
        <f t="shared" si="7"/>
        <v>52</v>
      </c>
      <c r="E87">
        <f t="shared" si="8"/>
        <v>52</v>
      </c>
      <c r="F87" t="s">
        <v>406</v>
      </c>
      <c r="G87">
        <f t="shared" si="9"/>
        <v>32</v>
      </c>
      <c r="H87" t="s">
        <v>652</v>
      </c>
      <c r="I87" t="str">
        <f t="shared" si="10"/>
        <v>https://hl7.org/cda/us/ccda/Binary-care-team-member-act-example.html</v>
      </c>
      <c r="J87" t="s">
        <v>1381</v>
      </c>
      <c r="K87" t="str">
        <f t="shared" si="11"/>
        <v>{ file:'2.16.840.1.113883.10.20.22.4.49.html', href:'https://hl7.org/cda/us/ccda/Binary-care-team-member-act-example.html', text:'care-team-member-act-example' },</v>
      </c>
    </row>
    <row r="88" spans="1:11" x14ac:dyDescent="0.25">
      <c r="A88" t="s">
        <v>1160</v>
      </c>
      <c r="B88" t="s">
        <v>57</v>
      </c>
      <c r="C88">
        <f t="shared" si="6"/>
        <v>14</v>
      </c>
      <c r="D88">
        <f t="shared" si="7"/>
        <v>56</v>
      </c>
      <c r="E88">
        <f t="shared" si="8"/>
        <v>56</v>
      </c>
      <c r="F88" t="s">
        <v>407</v>
      </c>
      <c r="G88">
        <f t="shared" si="9"/>
        <v>35</v>
      </c>
      <c r="H88" t="s">
        <v>653</v>
      </c>
      <c r="I88" t="str">
        <f t="shared" si="10"/>
        <v>https://hl7.org/cda/us/ccda/Binary-care-team-member-schedule-observation-example.html</v>
      </c>
      <c r="J88" t="s">
        <v>1382</v>
      </c>
      <c r="K88" t="str">
        <f t="shared" si="11"/>
        <v>{ file:'2.16.840.1.113883.10.20.22.4.500.3.html', href:'https://hl7.org/cda/us/ccda/Binary-care-team-member-schedule-observation-example.html', text:'care-team-member-schedule-observation-example' },</v>
      </c>
    </row>
    <row r="89" spans="1:11" x14ac:dyDescent="0.25">
      <c r="A89" t="s">
        <v>1161</v>
      </c>
      <c r="B89" t="s">
        <v>58</v>
      </c>
      <c r="C89">
        <f t="shared" si="6"/>
        <v>14</v>
      </c>
      <c r="D89">
        <f t="shared" si="7"/>
        <v>54</v>
      </c>
      <c r="E89">
        <f t="shared" si="8"/>
        <v>54</v>
      </c>
      <c r="F89" t="s">
        <v>408</v>
      </c>
      <c r="G89">
        <f t="shared" si="9"/>
        <v>33</v>
      </c>
      <c r="H89" t="s">
        <v>654</v>
      </c>
      <c r="I89" t="str">
        <f t="shared" si="10"/>
        <v>https://hl7.org/cda/us/ccda/Binary-care-team-organizer-example.html</v>
      </c>
      <c r="J89" t="s">
        <v>1383</v>
      </c>
      <c r="K89" t="str">
        <f t="shared" si="11"/>
        <v>{ file:'2.16.840.1.113883.10.20.22.4.500.html', href:'https://hl7.org/cda/us/ccda/Binary-care-team-organizer-example.html', text:'care-team-organizer-example' },</v>
      </c>
    </row>
    <row r="90" spans="1:11" x14ac:dyDescent="0.25">
      <c r="A90" t="s">
        <v>1161</v>
      </c>
      <c r="B90" t="s">
        <v>59</v>
      </c>
      <c r="C90">
        <f t="shared" si="6"/>
        <v>16</v>
      </c>
      <c r="D90">
        <f t="shared" si="7"/>
        <v>58</v>
      </c>
      <c r="E90">
        <f t="shared" si="8"/>
        <v>58</v>
      </c>
      <c r="F90" t="s">
        <v>405</v>
      </c>
      <c r="G90">
        <f t="shared" si="9"/>
        <v>35</v>
      </c>
      <c r="H90" t="s">
        <v>651</v>
      </c>
      <c r="I90" t="str">
        <f t="shared" si="10"/>
        <v>https://hl7.org/cda/us/ccda/Binary-care-team-organizer-example.html</v>
      </c>
      <c r="J90" t="s">
        <v>1383</v>
      </c>
      <c r="K90" t="str">
        <f t="shared" si="11"/>
        <v>{ file:'2.16.840.1.113883.10.20.22.4.500.1.html', href:'https://hl7.org/cda/us/ccda/Binary-care-team-organizer-example.html', text:'care-team-organizer-example' },</v>
      </c>
    </row>
    <row r="91" spans="1:11" x14ac:dyDescent="0.25">
      <c r="A91" t="s">
        <v>1162</v>
      </c>
      <c r="B91" t="s">
        <v>152</v>
      </c>
      <c r="C91">
        <f t="shared" si="6"/>
        <v>13</v>
      </c>
      <c r="D91">
        <f t="shared" si="7"/>
        <v>55</v>
      </c>
      <c r="E91">
        <f t="shared" si="8"/>
        <v>55</v>
      </c>
      <c r="F91" t="s">
        <v>409</v>
      </c>
      <c r="G91">
        <f t="shared" si="9"/>
        <v>35</v>
      </c>
      <c r="H91" t="s">
        <v>655</v>
      </c>
      <c r="I91" t="str">
        <f t="shared" si="10"/>
        <v>https://hl7.org/cda/us/ccda/Binary-care-team-type-example.html</v>
      </c>
      <c r="J91" t="s">
        <v>1384</v>
      </c>
      <c r="K91" t="str">
        <f t="shared" si="11"/>
        <v>{ file:'2.16.840.1.113883.10.20.22.4.500.2.html', href:'https://hl7.org/cda/us/ccda/Binary-care-team-type-example.html', text:'care-team-type-example' },</v>
      </c>
    </row>
    <row r="92" spans="1:11" x14ac:dyDescent="0.25">
      <c r="A92" t="s">
        <v>1163</v>
      </c>
      <c r="B92" t="s">
        <v>153</v>
      </c>
      <c r="C92">
        <f t="shared" si="6"/>
        <v>13</v>
      </c>
      <c r="D92">
        <f t="shared" si="7"/>
        <v>53</v>
      </c>
      <c r="E92">
        <f t="shared" si="8"/>
        <v>53</v>
      </c>
      <c r="F92" t="s">
        <v>410</v>
      </c>
      <c r="G92">
        <f t="shared" si="9"/>
        <v>33</v>
      </c>
      <c r="H92" t="s">
        <v>656</v>
      </c>
      <c r="I92" t="str">
        <f t="shared" si="10"/>
        <v>https://hl7.org/cda/us/ccda/Binary-care-teams-section-example.html</v>
      </c>
      <c r="J92" t="s">
        <v>1385</v>
      </c>
      <c r="K92" t="str">
        <f t="shared" si="11"/>
        <v>{ file:'2.16.840.1.113883.10.20.22.2.500.html', href:'https://hl7.org/cda/us/ccda/Binary-care-teams-section-example.html', text:'care-teams-section-example' },</v>
      </c>
    </row>
    <row r="93" spans="1:11" x14ac:dyDescent="0.25">
      <c r="A93" t="s">
        <v>1164</v>
      </c>
      <c r="B93" t="s">
        <v>154</v>
      </c>
      <c r="C93">
        <f t="shared" si="6"/>
        <v>13</v>
      </c>
      <c r="D93" t="e">
        <f t="shared" si="7"/>
        <v>#VALUE!</v>
      </c>
      <c r="E93">
        <f t="shared" si="8"/>
        <v>100</v>
      </c>
      <c r="F93" t="s">
        <v>411</v>
      </c>
      <c r="G93">
        <f t="shared" si="9"/>
        <v>32</v>
      </c>
      <c r="H93" t="s">
        <v>657</v>
      </c>
      <c r="I93" t="str">
        <f t="shared" si="10"/>
        <v>https://hl7.org/cda/us/ccda/Binary-caregiver-characteristics-example.html</v>
      </c>
      <c r="J93" t="s">
        <v>1386</v>
      </c>
      <c r="K93" t="str">
        <f t="shared" si="11"/>
        <v>{ file:'2.16.840.1.113883.10.20.22.4.72.html', href:'https://hl7.org/cda/us/ccda/Binary-caregiver-characteristics-example.html', text:'caregiver-characteristics-example' },</v>
      </c>
    </row>
    <row r="94" spans="1:11" x14ac:dyDescent="0.25">
      <c r="A94" t="s">
        <v>1165</v>
      </c>
      <c r="B94" t="s">
        <v>155</v>
      </c>
      <c r="C94">
        <f t="shared" si="6"/>
        <v>13</v>
      </c>
      <c r="D94">
        <f t="shared" si="7"/>
        <v>53</v>
      </c>
      <c r="E94">
        <f t="shared" si="8"/>
        <v>53</v>
      </c>
      <c r="F94" t="s">
        <v>412</v>
      </c>
      <c r="G94">
        <f t="shared" si="9"/>
        <v>33</v>
      </c>
      <c r="H94" t="s">
        <v>658</v>
      </c>
      <c r="I94" t="str">
        <f t="shared" si="10"/>
        <v>https://hl7.org/cda/us/ccda/Binary-catalog-number-observation-example.html</v>
      </c>
      <c r="J94" t="s">
        <v>1387</v>
      </c>
      <c r="K94" t="str">
        <f t="shared" si="11"/>
        <v>{ file:'2.16.840.1.113883.10.20.22.4.302.html', href:'https://hl7.org/cda/us/ccda/Binary-catalog-number-observation-example.html', text:'catalog-number-observation-example' },</v>
      </c>
    </row>
    <row r="95" spans="1:11" x14ac:dyDescent="0.25">
      <c r="A95" t="s">
        <v>1166</v>
      </c>
      <c r="B95" t="s">
        <v>5</v>
      </c>
      <c r="C95">
        <f t="shared" si="6"/>
        <v>13</v>
      </c>
      <c r="D95">
        <f t="shared" si="7"/>
        <v>51</v>
      </c>
      <c r="E95">
        <f t="shared" si="8"/>
        <v>51</v>
      </c>
      <c r="F95" t="s">
        <v>400</v>
      </c>
      <c r="G95">
        <f t="shared" si="9"/>
        <v>31</v>
      </c>
      <c r="H95" t="s">
        <v>646</v>
      </c>
      <c r="I95" t="str">
        <f t="shared" si="10"/>
        <v>https://hl7.org/cda/us/ccda/Binary-ccd-header-example.html</v>
      </c>
      <c r="J95" t="s">
        <v>1388</v>
      </c>
      <c r="K95" t="str">
        <f t="shared" si="11"/>
        <v>{ file:'2.16.840.1.113883.10.20.22.1.1.html', href:'https://hl7.org/cda/us/ccda/Binary-ccd-header-example.html', text:'ccd-header-example' },</v>
      </c>
    </row>
    <row r="96" spans="1:11" x14ac:dyDescent="0.25">
      <c r="A96" t="s">
        <v>1166</v>
      </c>
      <c r="B96" t="s">
        <v>156</v>
      </c>
      <c r="C96">
        <f t="shared" si="6"/>
        <v>13</v>
      </c>
      <c r="D96">
        <f t="shared" si="7"/>
        <v>51</v>
      </c>
      <c r="E96">
        <f t="shared" si="8"/>
        <v>51</v>
      </c>
      <c r="F96" t="s">
        <v>413</v>
      </c>
      <c r="G96">
        <f t="shared" si="9"/>
        <v>31</v>
      </c>
      <c r="H96" t="s">
        <v>659</v>
      </c>
      <c r="I96" t="str">
        <f t="shared" si="10"/>
        <v>https://hl7.org/cda/us/ccda/Binary-ccd-header-example.html</v>
      </c>
      <c r="J96" t="s">
        <v>1388</v>
      </c>
      <c r="K96" t="str">
        <f t="shared" si="11"/>
        <v>{ file:'2.16.840.1.113883.10.20.22.1.2.html', href:'https://hl7.org/cda/us/ccda/Binary-ccd-header-example.html', text:'ccd-header-example' },</v>
      </c>
    </row>
    <row r="97" spans="1:11" x14ac:dyDescent="0.25">
      <c r="A97" t="s">
        <v>1166</v>
      </c>
      <c r="B97" t="s">
        <v>122</v>
      </c>
      <c r="C97">
        <f t="shared" si="6"/>
        <v>13</v>
      </c>
      <c r="D97">
        <f t="shared" si="7"/>
        <v>51</v>
      </c>
      <c r="E97">
        <f t="shared" si="8"/>
        <v>51</v>
      </c>
      <c r="F97" t="s">
        <v>370</v>
      </c>
      <c r="G97">
        <f t="shared" si="9"/>
        <v>31</v>
      </c>
      <c r="H97" t="s">
        <v>618</v>
      </c>
      <c r="I97" t="str">
        <f t="shared" si="10"/>
        <v>https://hl7.org/cda/us/ccda/Binary-ccd-header-example.html</v>
      </c>
      <c r="J97" t="s">
        <v>1388</v>
      </c>
      <c r="K97" t="str">
        <f t="shared" si="11"/>
        <v>{ file:'2.16.840.1.113883.10.20.22.5.6.html', href:'https://hl7.org/cda/us/ccda/Binary-ccd-header-example.html', text:'ccd-header-example' },</v>
      </c>
    </row>
    <row r="98" spans="1:11" x14ac:dyDescent="0.25">
      <c r="A98" t="s">
        <v>1166</v>
      </c>
      <c r="B98" t="s">
        <v>157</v>
      </c>
      <c r="C98">
        <f t="shared" si="6"/>
        <v>13</v>
      </c>
      <c r="D98">
        <f t="shared" si="7"/>
        <v>51</v>
      </c>
      <c r="E98">
        <f t="shared" si="8"/>
        <v>51</v>
      </c>
      <c r="F98" t="s">
        <v>414</v>
      </c>
      <c r="G98">
        <f t="shared" si="9"/>
        <v>31</v>
      </c>
      <c r="H98" t="s">
        <v>660</v>
      </c>
      <c r="I98" t="str">
        <f t="shared" si="10"/>
        <v>https://hl7.org/cda/us/ccda/Binary-ccd-header-example.html</v>
      </c>
      <c r="J98" t="s">
        <v>1388</v>
      </c>
      <c r="K98" t="str">
        <f t="shared" si="11"/>
        <v>{ file:'2.16.840.1.113883.10.20.22.5.8.html', href:'https://hl7.org/cda/us/ccda/Binary-ccd-header-example.html', text:'ccd-header-example' },</v>
      </c>
    </row>
    <row r="99" spans="1:11" x14ac:dyDescent="0.25">
      <c r="A99" t="s">
        <v>1166</v>
      </c>
      <c r="B99" t="s">
        <v>158</v>
      </c>
      <c r="C99">
        <f t="shared" si="6"/>
        <v>13</v>
      </c>
      <c r="D99">
        <f t="shared" si="7"/>
        <v>54</v>
      </c>
      <c r="E99">
        <f t="shared" si="8"/>
        <v>54</v>
      </c>
      <c r="F99" t="s">
        <v>415</v>
      </c>
      <c r="G99">
        <f t="shared" si="9"/>
        <v>34</v>
      </c>
      <c r="H99" t="s">
        <v>661</v>
      </c>
      <c r="I99" t="str">
        <f t="shared" si="10"/>
        <v>https://hl7.org/cda/us/ccda/Binary-ccd-header-example.html</v>
      </c>
      <c r="J99" t="s">
        <v>1388</v>
      </c>
      <c r="K99" t="str">
        <f t="shared" si="11"/>
        <v>{ file:'2.16.840.1.113883.10.20.22.2.22.1.html', href:'https://hl7.org/cda/us/ccda/Binary-ccd-header-example.html', text:'ccd-header-example' },</v>
      </c>
    </row>
    <row r="100" spans="1:11" x14ac:dyDescent="0.25">
      <c r="A100" t="s">
        <v>1166</v>
      </c>
      <c r="B100" t="s">
        <v>20</v>
      </c>
      <c r="C100">
        <f t="shared" si="6"/>
        <v>13</v>
      </c>
      <c r="D100">
        <f t="shared" si="7"/>
        <v>52</v>
      </c>
      <c r="E100">
        <f t="shared" si="8"/>
        <v>52</v>
      </c>
      <c r="F100" t="s">
        <v>416</v>
      </c>
      <c r="G100">
        <f t="shared" si="9"/>
        <v>32</v>
      </c>
      <c r="H100" t="s">
        <v>662</v>
      </c>
      <c r="I100" t="str">
        <f t="shared" si="10"/>
        <v>https://hl7.org/cda/us/ccda/Binary-ccd-header-example.html</v>
      </c>
      <c r="J100" t="s">
        <v>1388</v>
      </c>
      <c r="K100" t="str">
        <f t="shared" si="11"/>
        <v>{ file:'2.16.840.1.113883.10.20.22.2.17.html', href:'https://hl7.org/cda/us/ccda/Binary-ccd-header-example.html', text:'ccd-header-example' },</v>
      </c>
    </row>
    <row r="101" spans="1:11" x14ac:dyDescent="0.25">
      <c r="A101" t="s">
        <v>1166</v>
      </c>
      <c r="B101" t="s">
        <v>0</v>
      </c>
      <c r="C101">
        <f t="shared" si="6"/>
        <v>13</v>
      </c>
      <c r="D101">
        <f t="shared" si="7"/>
        <v>53</v>
      </c>
      <c r="E101">
        <f t="shared" si="8"/>
        <v>53</v>
      </c>
      <c r="F101" t="s">
        <v>376</v>
      </c>
      <c r="G101">
        <f t="shared" si="9"/>
        <v>33</v>
      </c>
      <c r="H101" t="s">
        <v>624</v>
      </c>
      <c r="I101" t="str">
        <f t="shared" si="10"/>
        <v>https://hl7.org/cda/us/ccda/Binary-ccd-header-example.html</v>
      </c>
      <c r="J101" t="s">
        <v>1388</v>
      </c>
      <c r="K101" t="str">
        <f t="shared" si="11"/>
        <v>{ file:'2.16.840.1.113883.10.20.22.2.6.1.html', href:'https://hl7.org/cda/us/ccda/Binary-ccd-header-example.html', text:'ccd-header-example' },</v>
      </c>
    </row>
    <row r="102" spans="1:11" x14ac:dyDescent="0.25">
      <c r="A102" t="s">
        <v>1166</v>
      </c>
      <c r="B102" t="s">
        <v>6</v>
      </c>
      <c r="C102">
        <f t="shared" si="6"/>
        <v>13</v>
      </c>
      <c r="D102">
        <f t="shared" si="7"/>
        <v>53</v>
      </c>
      <c r="E102">
        <f t="shared" si="8"/>
        <v>53</v>
      </c>
      <c r="F102" t="s">
        <v>417</v>
      </c>
      <c r="G102">
        <f t="shared" si="9"/>
        <v>33</v>
      </c>
      <c r="H102" t="s">
        <v>663</v>
      </c>
      <c r="I102" t="str">
        <f t="shared" si="10"/>
        <v>https://hl7.org/cda/us/ccda/Binary-ccd-header-example.html</v>
      </c>
      <c r="J102" t="s">
        <v>1388</v>
      </c>
      <c r="K102" t="str">
        <f t="shared" si="11"/>
        <v>{ file:'2.16.840.1.113883.10.20.22.2.5.1.html', href:'https://hl7.org/cda/us/ccda/Binary-ccd-header-example.html', text:'ccd-header-example' },</v>
      </c>
    </row>
    <row r="103" spans="1:11" x14ac:dyDescent="0.25">
      <c r="A103" t="s">
        <v>1166</v>
      </c>
      <c r="B103" t="s">
        <v>7</v>
      </c>
      <c r="C103">
        <f t="shared" si="6"/>
        <v>13</v>
      </c>
      <c r="D103">
        <f t="shared" si="7"/>
        <v>53</v>
      </c>
      <c r="E103">
        <f t="shared" si="8"/>
        <v>53</v>
      </c>
      <c r="F103" t="s">
        <v>418</v>
      </c>
      <c r="G103">
        <f t="shared" si="9"/>
        <v>33</v>
      </c>
      <c r="H103" t="s">
        <v>664</v>
      </c>
      <c r="I103" t="str">
        <f t="shared" si="10"/>
        <v>https://hl7.org/cda/us/ccda/Binary-ccd-header-example.html</v>
      </c>
      <c r="J103" t="s">
        <v>1388</v>
      </c>
      <c r="K103" t="str">
        <f t="shared" si="11"/>
        <v>{ file:'2.16.840.1.113883.10.20.22.2.1.1.html', href:'https://hl7.org/cda/us/ccda/Binary-ccd-header-example.html', text:'ccd-header-example' },</v>
      </c>
    </row>
    <row r="104" spans="1:11" x14ac:dyDescent="0.25">
      <c r="A104" t="s">
        <v>1166</v>
      </c>
      <c r="B104" t="s">
        <v>9</v>
      </c>
      <c r="C104">
        <f t="shared" si="6"/>
        <v>13</v>
      </c>
      <c r="D104">
        <f t="shared" si="7"/>
        <v>53</v>
      </c>
      <c r="E104">
        <f t="shared" si="8"/>
        <v>53</v>
      </c>
      <c r="F104" t="s">
        <v>419</v>
      </c>
      <c r="G104">
        <f t="shared" si="9"/>
        <v>33</v>
      </c>
      <c r="H104" t="s">
        <v>665</v>
      </c>
      <c r="I104" t="str">
        <f t="shared" si="10"/>
        <v>https://hl7.org/cda/us/ccda/Binary-ccd-header-example.html</v>
      </c>
      <c r="J104" t="s">
        <v>1388</v>
      </c>
      <c r="K104" t="str">
        <f t="shared" si="11"/>
        <v>{ file:'2.16.840.1.113883.10.20.22.2.3.1.html', href:'https://hl7.org/cda/us/ccda/Binary-ccd-header-example.html', text:'ccd-header-example' },</v>
      </c>
    </row>
    <row r="105" spans="1:11" x14ac:dyDescent="0.25">
      <c r="A105" t="s">
        <v>1166</v>
      </c>
      <c r="B105" t="s">
        <v>19</v>
      </c>
      <c r="C105">
        <f t="shared" si="6"/>
        <v>13</v>
      </c>
      <c r="D105">
        <f t="shared" si="7"/>
        <v>53</v>
      </c>
      <c r="E105">
        <f t="shared" si="8"/>
        <v>53</v>
      </c>
      <c r="F105" t="s">
        <v>420</v>
      </c>
      <c r="G105">
        <f t="shared" si="9"/>
        <v>33</v>
      </c>
      <c r="H105" t="s">
        <v>666</v>
      </c>
      <c r="I105" t="str">
        <f t="shared" si="10"/>
        <v>https://hl7.org/cda/us/ccda/Binary-ccd-header-example.html</v>
      </c>
      <c r="J105" t="s">
        <v>1388</v>
      </c>
      <c r="K105" t="str">
        <f t="shared" si="11"/>
        <v>{ file:'2.16.840.1.113883.10.20.22.2.4.1.html', href:'https://hl7.org/cda/us/ccda/Binary-ccd-header-example.html', text:'ccd-header-example' },</v>
      </c>
    </row>
    <row r="106" spans="1:11" x14ac:dyDescent="0.25">
      <c r="A106" t="s">
        <v>1167</v>
      </c>
      <c r="B106" t="s">
        <v>159</v>
      </c>
      <c r="C106">
        <f t="shared" si="6"/>
        <v>13</v>
      </c>
      <c r="D106" t="e">
        <f t="shared" si="7"/>
        <v>#VALUE!</v>
      </c>
      <c r="E106">
        <f t="shared" si="8"/>
        <v>100</v>
      </c>
      <c r="F106" t="s">
        <v>421</v>
      </c>
      <c r="G106">
        <f t="shared" si="9"/>
        <v>33</v>
      </c>
      <c r="H106" t="s">
        <v>667</v>
      </c>
      <c r="I106" t="str">
        <f t="shared" si="10"/>
        <v>https://hl7.org/cda/us/ccda/Binary-characteristics-of-home-environment-example.html</v>
      </c>
      <c r="J106" t="s">
        <v>1389</v>
      </c>
      <c r="K106" t="str">
        <f t="shared" si="11"/>
        <v>{ file:'2.16.840.1.113883.10.20.22.4.109.html', href:'https://hl7.org/cda/us/ccda/Binary-characteristics-of-home-environment-example.html', text:'characteristics-of-home-environment-example' },</v>
      </c>
    </row>
    <row r="107" spans="1:11" x14ac:dyDescent="0.25">
      <c r="A107" t="s">
        <v>1168</v>
      </c>
      <c r="B107" t="s">
        <v>160</v>
      </c>
      <c r="C107">
        <f t="shared" si="6"/>
        <v>13</v>
      </c>
      <c r="D107" t="e">
        <f t="shared" si="7"/>
        <v>#VALUE!</v>
      </c>
      <c r="E107">
        <f t="shared" si="8"/>
        <v>100</v>
      </c>
      <c r="F107" t="s">
        <v>422</v>
      </c>
      <c r="G107">
        <f t="shared" si="9"/>
        <v>32</v>
      </c>
      <c r="H107" t="s">
        <v>668</v>
      </c>
      <c r="I107" t="str">
        <f t="shared" si="10"/>
        <v>https://hl7.org/cda/us/ccda/Binary-chief-complaint-and-reason-for-visit-section-example.html</v>
      </c>
      <c r="J107" t="s">
        <v>1390</v>
      </c>
      <c r="K107" t="str">
        <f t="shared" si="11"/>
        <v>{ file:'2.16.840.1.113883.10.20.22.2.13.html', href:'https://hl7.org/cda/us/ccda/Binary-chief-complaint-and-reason-for-visit-section-example.html', text:'chief-complaint-and-reason-for-visit-section-example' },</v>
      </c>
    </row>
    <row r="108" spans="1:11" x14ac:dyDescent="0.25">
      <c r="A108" t="s">
        <v>1169</v>
      </c>
      <c r="B108" t="s">
        <v>161</v>
      </c>
      <c r="C108">
        <f t="shared" si="6"/>
        <v>13</v>
      </c>
      <c r="D108" t="e">
        <f t="shared" si="7"/>
        <v>#VALUE!</v>
      </c>
      <c r="E108">
        <f t="shared" si="8"/>
        <v>100</v>
      </c>
      <c r="F108" t="s">
        <v>423</v>
      </c>
      <c r="G108">
        <f t="shared" si="9"/>
        <v>35</v>
      </c>
      <c r="H108" t="s">
        <v>669</v>
      </c>
      <c r="I108" t="str">
        <f t="shared" si="10"/>
        <v>https://hl7.org/cda/us/ccda/Binary-chief-complaint-section-example.html</v>
      </c>
      <c r="J108" t="s">
        <v>1391</v>
      </c>
      <c r="K108" t="str">
        <f t="shared" si="11"/>
        <v>{ file:'1.3.6.1.4.1.19376.1.5.3.1.1.13.2.1.html', href:'https://hl7.org/cda/us/ccda/Binary-chief-complaint-section-example.html', text:'chief-complaint-section-example' },</v>
      </c>
    </row>
    <row r="109" spans="1:11" x14ac:dyDescent="0.25">
      <c r="A109" t="s">
        <v>1170</v>
      </c>
      <c r="B109" t="s">
        <v>162</v>
      </c>
      <c r="C109">
        <f t="shared" si="6"/>
        <v>13</v>
      </c>
      <c r="D109" t="e">
        <f t="shared" si="7"/>
        <v>#VALUE!</v>
      </c>
      <c r="E109">
        <f t="shared" si="8"/>
        <v>100</v>
      </c>
      <c r="F109" t="s">
        <v>424</v>
      </c>
      <c r="G109">
        <f t="shared" si="9"/>
        <v>31</v>
      </c>
      <c r="H109" t="s">
        <v>670</v>
      </c>
      <c r="I109" t="str">
        <f t="shared" si="10"/>
        <v>https://hl7.org/cda/us/ccda/Binary-code-observation-example.html</v>
      </c>
      <c r="J109" t="s">
        <v>1392</v>
      </c>
      <c r="K109" t="str">
        <f t="shared" si="11"/>
        <v>{ file:'2.16.840.1.113883.10.20.6.2.13.html', href:'https://hl7.org/cda/us/ccda/Binary-code-observation-example.html', text:'code-observation-example' },</v>
      </c>
    </row>
    <row r="110" spans="1:11" x14ac:dyDescent="0.25">
      <c r="A110" t="s">
        <v>1171</v>
      </c>
      <c r="B110" t="s">
        <v>163</v>
      </c>
      <c r="C110">
        <f t="shared" si="6"/>
        <v>13</v>
      </c>
      <c r="D110" t="e">
        <f t="shared" si="7"/>
        <v>#VALUE!</v>
      </c>
      <c r="E110">
        <f t="shared" si="8"/>
        <v>100</v>
      </c>
      <c r="F110" t="s">
        <v>425</v>
      </c>
      <c r="G110">
        <f t="shared" si="9"/>
        <v>32</v>
      </c>
      <c r="H110" t="s">
        <v>671</v>
      </c>
      <c r="I110" t="str">
        <f t="shared" si="10"/>
        <v>https://hl7.org/cda/us/ccda/Binary-comment-activity-example.html</v>
      </c>
      <c r="J110" t="s">
        <v>1393</v>
      </c>
      <c r="K110" t="str">
        <f t="shared" si="11"/>
        <v>{ file:'2.16.840.1.113883.10.20.22.4.64.html', href:'https://hl7.org/cda/us/ccda/Binary-comment-activity-example.html', text:'comment-activity-example' },</v>
      </c>
    </row>
    <row r="111" spans="1:11" x14ac:dyDescent="0.25">
      <c r="A111" t="s">
        <v>1171</v>
      </c>
      <c r="B111" t="s">
        <v>1</v>
      </c>
      <c r="C111">
        <f t="shared" si="6"/>
        <v>13</v>
      </c>
      <c r="D111" t="e">
        <f t="shared" si="7"/>
        <v>#VALUE!</v>
      </c>
      <c r="E111">
        <f t="shared" si="8"/>
        <v>100</v>
      </c>
      <c r="F111" t="s">
        <v>383</v>
      </c>
      <c r="G111">
        <f t="shared" si="9"/>
        <v>33</v>
      </c>
      <c r="H111" t="s">
        <v>620</v>
      </c>
      <c r="I111" t="str">
        <f t="shared" si="10"/>
        <v>https://hl7.org/cda/us/ccda/Binary-comment-activity-example.html</v>
      </c>
      <c r="J111" t="s">
        <v>1393</v>
      </c>
      <c r="K111" t="str">
        <f t="shared" si="11"/>
        <v>{ file:'2.16.840.1.113883.10.20.22.4.119.html', href:'https://hl7.org/cda/us/ccda/Binary-comment-activity-example.html', text:'comment-activity-example' },</v>
      </c>
    </row>
    <row r="112" spans="1:11" x14ac:dyDescent="0.25">
      <c r="A112" t="s">
        <v>1172</v>
      </c>
      <c r="B112" t="s">
        <v>164</v>
      </c>
      <c r="C112">
        <f t="shared" si="6"/>
        <v>13</v>
      </c>
      <c r="D112">
        <f t="shared" si="7"/>
        <v>53</v>
      </c>
      <c r="E112">
        <f t="shared" si="8"/>
        <v>53</v>
      </c>
      <c r="F112" t="s">
        <v>426</v>
      </c>
      <c r="G112">
        <f t="shared" si="9"/>
        <v>33</v>
      </c>
      <c r="H112" t="s">
        <v>672</v>
      </c>
      <c r="I112" t="str">
        <f t="shared" si="10"/>
        <v>https://hl7.org/cda/us/ccda/Binary-company-name-example.html</v>
      </c>
      <c r="J112" t="s">
        <v>1394</v>
      </c>
      <c r="K112" t="str">
        <f t="shared" si="11"/>
        <v>{ file:'2.16.840.1.113883.10.20.22.4.303.html', href:'https://hl7.org/cda/us/ccda/Binary-company-name-example.html', text:'company-name-example' },</v>
      </c>
    </row>
    <row r="113" spans="1:11" x14ac:dyDescent="0.25">
      <c r="A113" t="s">
        <v>1173</v>
      </c>
      <c r="B113" t="s">
        <v>25</v>
      </c>
      <c r="C113">
        <f t="shared" si="6"/>
        <v>13</v>
      </c>
      <c r="D113">
        <f t="shared" si="7"/>
        <v>52</v>
      </c>
      <c r="E113">
        <f t="shared" si="8"/>
        <v>52</v>
      </c>
      <c r="F113" t="s">
        <v>427</v>
      </c>
      <c r="G113">
        <f t="shared" si="9"/>
        <v>32</v>
      </c>
      <c r="H113" t="s">
        <v>673</v>
      </c>
      <c r="I113" t="str">
        <f t="shared" si="10"/>
        <v>https://hl7.org/cda/us/ccda/Binary-complications-section-example.html</v>
      </c>
      <c r="J113" t="s">
        <v>1395</v>
      </c>
      <c r="K113" t="str">
        <f t="shared" si="11"/>
        <v>{ file:'2.16.840.1.113883.10.20.22.2.37.html', href:'https://hl7.org/cda/us/ccda/Binary-complications-section-example.html', text:'complications-section-example' },</v>
      </c>
    </row>
    <row r="114" spans="1:11" x14ac:dyDescent="0.25">
      <c r="A114" t="s">
        <v>1174</v>
      </c>
      <c r="B114" t="s">
        <v>60</v>
      </c>
      <c r="C114">
        <f t="shared" si="6"/>
        <v>14</v>
      </c>
      <c r="D114">
        <f t="shared" si="7"/>
        <v>52</v>
      </c>
      <c r="E114">
        <f t="shared" si="8"/>
        <v>52</v>
      </c>
      <c r="F114" t="s">
        <v>400</v>
      </c>
      <c r="G114">
        <f t="shared" si="9"/>
        <v>31</v>
      </c>
      <c r="H114" t="s">
        <v>646</v>
      </c>
      <c r="I114" t="str">
        <f t="shared" si="10"/>
        <v>https://hl7.org/cda/us/ccda/Binary-consultation-note-complete-example.html</v>
      </c>
      <c r="J114" t="s">
        <v>1396</v>
      </c>
      <c r="K114" t="str">
        <f t="shared" si="11"/>
        <v>{ file:'2.16.840.1.113883.10.20.22.1.1.html', href:'https://hl7.org/cda/us/ccda/Binary-consultation-note-complete-example.html', text:'consultation-note-complete-example' },</v>
      </c>
    </row>
    <row r="115" spans="1:11" x14ac:dyDescent="0.25">
      <c r="A115" t="s">
        <v>1174</v>
      </c>
      <c r="B115" t="s">
        <v>61</v>
      </c>
      <c r="C115">
        <f t="shared" si="6"/>
        <v>14</v>
      </c>
      <c r="D115">
        <f t="shared" si="7"/>
        <v>52</v>
      </c>
      <c r="E115">
        <f t="shared" si="8"/>
        <v>52</v>
      </c>
      <c r="F115" t="s">
        <v>428</v>
      </c>
      <c r="G115">
        <f t="shared" si="9"/>
        <v>31</v>
      </c>
      <c r="H115" t="s">
        <v>674</v>
      </c>
      <c r="I115" t="str">
        <f t="shared" si="10"/>
        <v>https://hl7.org/cda/us/ccda/Binary-consultation-note-complete-example.html</v>
      </c>
      <c r="J115" t="s">
        <v>1396</v>
      </c>
      <c r="K115" t="str">
        <f t="shared" si="11"/>
        <v>{ file:'2.16.840.1.113883.10.20.22.1.4.html', href:'https://hl7.org/cda/us/ccda/Binary-consultation-note-complete-example.html', text:'consultation-note-complete-example' },</v>
      </c>
    </row>
    <row r="116" spans="1:11" x14ac:dyDescent="0.25">
      <c r="A116" t="s">
        <v>1174</v>
      </c>
      <c r="B116" t="s">
        <v>62</v>
      </c>
      <c r="C116">
        <f t="shared" si="6"/>
        <v>18</v>
      </c>
      <c r="D116">
        <f t="shared" si="7"/>
        <v>58</v>
      </c>
      <c r="E116">
        <f t="shared" si="8"/>
        <v>58</v>
      </c>
      <c r="F116" t="s">
        <v>376</v>
      </c>
      <c r="G116">
        <f t="shared" si="9"/>
        <v>33</v>
      </c>
      <c r="H116" t="s">
        <v>624</v>
      </c>
      <c r="I116" t="str">
        <f t="shared" si="10"/>
        <v>https://hl7.org/cda/us/ccda/Binary-consultation-note-complete-example.html</v>
      </c>
      <c r="J116" t="s">
        <v>1396</v>
      </c>
      <c r="K116" t="str">
        <f t="shared" si="11"/>
        <v>{ file:'2.16.840.1.113883.10.20.22.2.6.1.html', href:'https://hl7.org/cda/us/ccda/Binary-consultation-note-complete-example.html', text:'consultation-note-complete-example' },</v>
      </c>
    </row>
    <row r="117" spans="1:11" x14ac:dyDescent="0.25">
      <c r="A117" t="s">
        <v>1174</v>
      </c>
      <c r="B117" t="s">
        <v>63</v>
      </c>
      <c r="C117">
        <f t="shared" si="6"/>
        <v>18</v>
      </c>
      <c r="D117">
        <f t="shared" si="7"/>
        <v>58</v>
      </c>
      <c r="E117">
        <f t="shared" si="8"/>
        <v>58</v>
      </c>
      <c r="F117" t="s">
        <v>417</v>
      </c>
      <c r="G117">
        <f t="shared" si="9"/>
        <v>33</v>
      </c>
      <c r="H117" t="s">
        <v>663</v>
      </c>
      <c r="I117" t="str">
        <f t="shared" si="10"/>
        <v>https://hl7.org/cda/us/ccda/Binary-consultation-note-complete-example.html</v>
      </c>
      <c r="J117" t="s">
        <v>1396</v>
      </c>
      <c r="K117" t="str">
        <f t="shared" si="11"/>
        <v>{ file:'2.16.840.1.113883.10.20.22.2.5.1.html', href:'https://hl7.org/cda/us/ccda/Binary-consultation-note-complete-example.html', text:'consultation-note-complete-example' },</v>
      </c>
    </row>
    <row r="118" spans="1:11" x14ac:dyDescent="0.25">
      <c r="A118" t="s">
        <v>1174</v>
      </c>
      <c r="B118" t="s">
        <v>64</v>
      </c>
      <c r="C118">
        <f t="shared" si="6"/>
        <v>18</v>
      </c>
      <c r="D118">
        <f t="shared" si="7"/>
        <v>58</v>
      </c>
      <c r="E118">
        <f t="shared" si="8"/>
        <v>58</v>
      </c>
      <c r="F118" t="s">
        <v>418</v>
      </c>
      <c r="G118">
        <f t="shared" si="9"/>
        <v>33</v>
      </c>
      <c r="H118" t="s">
        <v>664</v>
      </c>
      <c r="I118" t="str">
        <f t="shared" si="10"/>
        <v>https://hl7.org/cda/us/ccda/Binary-consultation-note-complete-example.html</v>
      </c>
      <c r="J118" t="s">
        <v>1396</v>
      </c>
      <c r="K118" t="str">
        <f t="shared" si="11"/>
        <v>{ file:'2.16.840.1.113883.10.20.22.2.1.1.html', href:'https://hl7.org/cda/us/ccda/Binary-consultation-note-complete-example.html', text:'consultation-note-complete-example' },</v>
      </c>
    </row>
    <row r="119" spans="1:11" x14ac:dyDescent="0.25">
      <c r="A119" t="s">
        <v>1174</v>
      </c>
      <c r="B119" t="s">
        <v>65</v>
      </c>
      <c r="C119">
        <f t="shared" si="6"/>
        <v>18</v>
      </c>
      <c r="D119">
        <f t="shared" si="7"/>
        <v>56</v>
      </c>
      <c r="E119">
        <f t="shared" si="8"/>
        <v>56</v>
      </c>
      <c r="F119" t="s">
        <v>387</v>
      </c>
      <c r="G119">
        <f t="shared" si="9"/>
        <v>31</v>
      </c>
      <c r="H119" t="s">
        <v>633</v>
      </c>
      <c r="I119" t="str">
        <f t="shared" si="10"/>
        <v>https://hl7.org/cda/us/ccda/Binary-consultation-note-complete-example.html</v>
      </c>
      <c r="J119" t="s">
        <v>1396</v>
      </c>
      <c r="K119" t="str">
        <f t="shared" si="11"/>
        <v>{ file:'2.16.840.1.113883.10.20.22.2.9.html', href:'https://hl7.org/cda/us/ccda/Binary-consultation-note-complete-example.html', text:'consultation-note-complete-example' },</v>
      </c>
    </row>
    <row r="120" spans="1:11" x14ac:dyDescent="0.25">
      <c r="A120" t="s">
        <v>1174</v>
      </c>
      <c r="B120" t="s">
        <v>66</v>
      </c>
      <c r="C120">
        <f t="shared" si="6"/>
        <v>18</v>
      </c>
      <c r="D120" t="e">
        <f t="shared" si="7"/>
        <v>#VALUE!</v>
      </c>
      <c r="E120">
        <f t="shared" si="8"/>
        <v>100</v>
      </c>
      <c r="F120" t="s">
        <v>429</v>
      </c>
      <c r="G120">
        <f t="shared" si="9"/>
        <v>30</v>
      </c>
      <c r="H120" t="s">
        <v>675</v>
      </c>
      <c r="I120" t="str">
        <f t="shared" si="10"/>
        <v>https://hl7.org/cda/us/ccda/Binary-consultation-note-complete-example.html</v>
      </c>
      <c r="J120" t="s">
        <v>1396</v>
      </c>
      <c r="K120" t="str">
        <f t="shared" si="11"/>
        <v>{ file:'1.3.6.1.4.1.19376.1.5.3.1.3.4.html', href:'https://hl7.org/cda/us/ccda/Binary-consultation-note-complete-example.html', text:'consultation-note-complete-example' },</v>
      </c>
    </row>
    <row r="121" spans="1:11" x14ac:dyDescent="0.25">
      <c r="A121" t="s">
        <v>1174</v>
      </c>
      <c r="B121" t="s">
        <v>67</v>
      </c>
      <c r="C121">
        <f t="shared" si="6"/>
        <v>18</v>
      </c>
      <c r="D121">
        <f t="shared" si="7"/>
        <v>58</v>
      </c>
      <c r="E121">
        <f t="shared" si="8"/>
        <v>58</v>
      </c>
      <c r="F121" t="s">
        <v>419</v>
      </c>
      <c r="G121">
        <f t="shared" si="9"/>
        <v>33</v>
      </c>
      <c r="H121" t="s">
        <v>665</v>
      </c>
      <c r="I121" t="str">
        <f t="shared" si="10"/>
        <v>https://hl7.org/cda/us/ccda/Binary-consultation-note-complete-example.html</v>
      </c>
      <c r="J121" t="s">
        <v>1396</v>
      </c>
      <c r="K121" t="str">
        <f t="shared" si="11"/>
        <v>{ file:'2.16.840.1.113883.10.20.22.2.3.1.html', href:'https://hl7.org/cda/us/ccda/Binary-consultation-note-complete-example.html', text:'consultation-note-complete-example' },</v>
      </c>
    </row>
    <row r="122" spans="1:11" x14ac:dyDescent="0.25">
      <c r="A122" t="s">
        <v>1174</v>
      </c>
      <c r="B122" t="s">
        <v>68</v>
      </c>
      <c r="C122">
        <f t="shared" si="6"/>
        <v>18</v>
      </c>
      <c r="D122" t="e">
        <f t="shared" si="7"/>
        <v>#VALUE!</v>
      </c>
      <c r="E122">
        <f t="shared" si="8"/>
        <v>100</v>
      </c>
      <c r="F122" t="s">
        <v>430</v>
      </c>
      <c r="G122">
        <f t="shared" si="9"/>
        <v>32</v>
      </c>
      <c r="H122" t="s">
        <v>676</v>
      </c>
      <c r="I122" t="str">
        <f t="shared" si="10"/>
        <v>https://hl7.org/cda/us/ccda/Binary-consultation-note-complete-example.html</v>
      </c>
      <c r="J122" t="s">
        <v>1396</v>
      </c>
      <c r="K122" t="str">
        <f t="shared" si="11"/>
        <v>{ file:'2.16.840.1.113883.10.20.22.2.12.html', href:'https://hl7.org/cda/us/ccda/Binary-consultation-note-complete-example.html', text:'consultation-note-complete-example' },</v>
      </c>
    </row>
    <row r="123" spans="1:11" x14ac:dyDescent="0.25">
      <c r="A123" t="s">
        <v>1174</v>
      </c>
      <c r="B123" t="s">
        <v>69</v>
      </c>
      <c r="C123">
        <f t="shared" si="6"/>
        <v>18</v>
      </c>
      <c r="D123">
        <f t="shared" si="7"/>
        <v>54</v>
      </c>
      <c r="E123">
        <f t="shared" si="8"/>
        <v>54</v>
      </c>
      <c r="F123" t="s">
        <v>431</v>
      </c>
      <c r="G123">
        <f t="shared" si="9"/>
        <v>29</v>
      </c>
      <c r="H123" t="s">
        <v>677</v>
      </c>
      <c r="I123" t="str">
        <f t="shared" si="10"/>
        <v>https://hl7.org/cda/us/ccda/Binary-consultation-note-complete-example.html</v>
      </c>
      <c r="J123" t="s">
        <v>1396</v>
      </c>
      <c r="K123" t="str">
        <f t="shared" si="11"/>
        <v>{ file:'2.16.840.1.113883.10.20.2.10.html', href:'https://hl7.org/cda/us/ccda/Binary-consultation-note-complete-example.html', text:'consultation-note-complete-example' },</v>
      </c>
    </row>
    <row r="124" spans="1:11" x14ac:dyDescent="0.25">
      <c r="A124" t="s">
        <v>1175</v>
      </c>
      <c r="B124" t="s">
        <v>165</v>
      </c>
      <c r="C124">
        <f t="shared" si="6"/>
        <v>13</v>
      </c>
      <c r="D124" t="e">
        <f t="shared" si="7"/>
        <v>#VALUE!</v>
      </c>
      <c r="E124">
        <f t="shared" si="8"/>
        <v>100</v>
      </c>
      <c r="F124" t="s">
        <v>432</v>
      </c>
      <c r="G124">
        <f t="shared" si="9"/>
        <v>32</v>
      </c>
      <c r="H124" t="s">
        <v>678</v>
      </c>
      <c r="I124" t="str">
        <f t="shared" si="10"/>
        <v>https://hl7.org/cda/us/ccda/Binary-course-of-care-section-example.html</v>
      </c>
      <c r="J124" t="s">
        <v>1397</v>
      </c>
      <c r="K124" t="str">
        <f t="shared" si="11"/>
        <v>{ file:'2.16.840.1.113883.10.20.22.2.64.html', href:'https://hl7.org/cda/us/ccda/Binary-course-of-care-section-example.html', text:'course-of-care-section-example' },</v>
      </c>
    </row>
    <row r="125" spans="1:11" x14ac:dyDescent="0.25">
      <c r="A125" t="s">
        <v>1176</v>
      </c>
      <c r="B125" t="s">
        <v>166</v>
      </c>
      <c r="C125">
        <f t="shared" si="6"/>
        <v>13</v>
      </c>
      <c r="D125">
        <f t="shared" si="7"/>
        <v>52</v>
      </c>
      <c r="E125">
        <f t="shared" si="8"/>
        <v>52</v>
      </c>
      <c r="F125" t="s">
        <v>433</v>
      </c>
      <c r="G125">
        <f t="shared" si="9"/>
        <v>32</v>
      </c>
      <c r="H125" t="s">
        <v>679</v>
      </c>
      <c r="I125" t="str">
        <f t="shared" si="10"/>
        <v>https://hl7.org/cda/us/ccda/Binary-coverage-activity-example.html</v>
      </c>
      <c r="J125" t="s">
        <v>1398</v>
      </c>
      <c r="K125" t="str">
        <f t="shared" si="11"/>
        <v>{ file:'2.16.840.1.113883.10.20.22.4.60.html', href:'https://hl7.org/cda/us/ccda/Binary-coverage-activity-example.html', text:'coverage-activity-example' },</v>
      </c>
    </row>
    <row r="126" spans="1:11" x14ac:dyDescent="0.25">
      <c r="A126" t="s">
        <v>1176</v>
      </c>
      <c r="B126" t="s">
        <v>167</v>
      </c>
      <c r="C126">
        <f t="shared" si="6"/>
        <v>13</v>
      </c>
      <c r="D126">
        <f t="shared" si="7"/>
        <v>52</v>
      </c>
      <c r="E126">
        <f t="shared" si="8"/>
        <v>52</v>
      </c>
      <c r="F126" t="s">
        <v>434</v>
      </c>
      <c r="G126">
        <f t="shared" si="9"/>
        <v>32</v>
      </c>
      <c r="H126" t="s">
        <v>680</v>
      </c>
      <c r="I126" t="str">
        <f t="shared" si="10"/>
        <v>https://hl7.org/cda/us/ccda/Binary-coverage-activity-example.html</v>
      </c>
      <c r="J126" t="s">
        <v>1398</v>
      </c>
      <c r="K126" t="str">
        <f t="shared" si="11"/>
        <v>{ file:'2.16.840.1.113883.10.20.22.4.61.html', href:'https://hl7.org/cda/us/ccda/Binary-coverage-activity-example.html', text:'coverage-activity-example' },</v>
      </c>
    </row>
    <row r="127" spans="1:11" x14ac:dyDescent="0.25">
      <c r="A127" t="s">
        <v>1176</v>
      </c>
      <c r="B127" t="s">
        <v>168</v>
      </c>
      <c r="C127">
        <f t="shared" si="6"/>
        <v>13</v>
      </c>
      <c r="D127" t="e">
        <f t="shared" si="7"/>
        <v>#VALUE!</v>
      </c>
      <c r="E127">
        <f t="shared" si="8"/>
        <v>100</v>
      </c>
      <c r="F127" t="s">
        <v>435</v>
      </c>
      <c r="G127">
        <f t="shared" si="9"/>
        <v>32</v>
      </c>
      <c r="H127" t="s">
        <v>681</v>
      </c>
      <c r="I127" t="str">
        <f t="shared" si="10"/>
        <v>https://hl7.org/cda/us/ccda/Binary-coverage-activity-example.html</v>
      </c>
      <c r="J127" t="s">
        <v>1398</v>
      </c>
      <c r="K127" t="str">
        <f t="shared" si="11"/>
        <v>{ file:'2.16.840.1.113883.10.20.22.4.87.html', href:'https://hl7.org/cda/us/ccda/Binary-coverage-activity-example.html', text:'coverage-activity-example' },</v>
      </c>
    </row>
    <row r="128" spans="1:11" x14ac:dyDescent="0.25">
      <c r="A128" t="s">
        <v>1176</v>
      </c>
      <c r="B128" t="s">
        <v>169</v>
      </c>
      <c r="C128">
        <f t="shared" si="6"/>
        <v>13</v>
      </c>
      <c r="D128" t="e">
        <f t="shared" si="7"/>
        <v>#VALUE!</v>
      </c>
      <c r="E128">
        <f t="shared" si="8"/>
        <v>100</v>
      </c>
      <c r="F128" t="s">
        <v>436</v>
      </c>
      <c r="G128">
        <f t="shared" si="9"/>
        <v>32</v>
      </c>
      <c r="H128" t="s">
        <v>682</v>
      </c>
      <c r="I128" t="str">
        <f t="shared" si="10"/>
        <v>https://hl7.org/cda/us/ccda/Binary-coverage-activity-example.html</v>
      </c>
      <c r="J128" t="s">
        <v>1398</v>
      </c>
      <c r="K128" t="str">
        <f t="shared" si="11"/>
        <v>{ file:'2.16.840.1.113883.10.20.22.4.89.html', href:'https://hl7.org/cda/us/ccda/Binary-coverage-activity-example.html', text:'coverage-activity-example' },</v>
      </c>
    </row>
    <row r="129" spans="1:11" x14ac:dyDescent="0.25">
      <c r="A129" t="s">
        <v>1177</v>
      </c>
      <c r="B129" t="s">
        <v>138</v>
      </c>
      <c r="C129">
        <f t="shared" si="6"/>
        <v>13</v>
      </c>
      <c r="D129" t="e">
        <f t="shared" si="7"/>
        <v>#VALUE!</v>
      </c>
      <c r="E129">
        <f t="shared" si="8"/>
        <v>100</v>
      </c>
      <c r="F129" t="s">
        <v>382</v>
      </c>
      <c r="G129">
        <f t="shared" si="9"/>
        <v>33</v>
      </c>
      <c r="H129" t="s">
        <v>630</v>
      </c>
      <c r="I129" t="str">
        <f t="shared" si="10"/>
        <v>https://hl7.org/cda/us/ccda/Binary-criticality-observation-example.html</v>
      </c>
      <c r="J129" t="s">
        <v>1399</v>
      </c>
      <c r="K129" t="str">
        <f t="shared" si="11"/>
        <v>{ file:'2.16.840.1.113883.10.20.22.4.145.html', href:'https://hl7.org/cda/us/ccda/Binary-criticality-observation-example.html', text:'criticality-observation-example' },</v>
      </c>
    </row>
    <row r="130" spans="1:11" x14ac:dyDescent="0.25">
      <c r="A130" t="s">
        <v>1178</v>
      </c>
      <c r="B130" t="s">
        <v>170</v>
      </c>
      <c r="C130">
        <f t="shared" si="6"/>
        <v>13</v>
      </c>
      <c r="D130" t="e">
        <f t="shared" si="7"/>
        <v>#VALUE!</v>
      </c>
      <c r="E130">
        <f t="shared" si="8"/>
        <v>100</v>
      </c>
      <c r="F130" t="s">
        <v>437</v>
      </c>
      <c r="G130">
        <f t="shared" si="9"/>
        <v>33</v>
      </c>
      <c r="H130" t="s">
        <v>683</v>
      </c>
      <c r="I130" t="str">
        <f t="shared" si="10"/>
        <v>https://hl7.org/cda/us/ccda/Binary-cultural-and-religious-observation-example.html</v>
      </c>
      <c r="J130" t="s">
        <v>1400</v>
      </c>
      <c r="K130" t="str">
        <f t="shared" si="11"/>
        <v>{ file:'2.16.840.1.113883.10.20.22.4.111.html', href:'https://hl7.org/cda/us/ccda/Binary-cultural-and-religious-observation-example.html', text:'cultural-and-religious-observation-example' },</v>
      </c>
    </row>
    <row r="131" spans="1:11" x14ac:dyDescent="0.25">
      <c r="A131" t="s">
        <v>1179</v>
      </c>
      <c r="B131" t="s">
        <v>70</v>
      </c>
      <c r="C131">
        <f t="shared" ref="C131:C194" si="12">FIND("root=",B131,1)</f>
        <v>14</v>
      </c>
      <c r="D131">
        <f t="shared" ref="D131:D194" si="13">FIND("extension",B131,1)</f>
        <v>54</v>
      </c>
      <c r="E131">
        <f t="shared" ref="E131:E194" si="14">IF(ISERR(D131),100,D131)</f>
        <v>54</v>
      </c>
      <c r="F131" t="s">
        <v>438</v>
      </c>
      <c r="G131">
        <f t="shared" ref="G131:G194" si="15">FIND("/",F131,1)</f>
        <v>33</v>
      </c>
      <c r="H131" t="s">
        <v>684</v>
      </c>
      <c r="I131" t="str">
        <f t="shared" ref="I131:I194" si="16">"https://hl7.org/cda/us/ccda/Binary-"&amp;A131&amp;".html"</f>
        <v>https://hl7.org/cda/us/ccda/Binary-date-of-diagnosis-act-example.html</v>
      </c>
      <c r="J131" t="s">
        <v>1401</v>
      </c>
      <c r="K131" t="str">
        <f t="shared" ref="K131:K194" si="17">"{ file:'"&amp;H131&amp;".html', href:'"&amp;I131&amp;"', text:'"&amp;A131&amp;"' },"</f>
        <v>{ file:'2.16.840.1.113883.10.20.22.4.502.html', href:'https://hl7.org/cda/us/ccda/Binary-date-of-diagnosis-act-example.html', text:'date-of-diagnosis-act-example' },</v>
      </c>
    </row>
    <row r="132" spans="1:11" x14ac:dyDescent="0.25">
      <c r="A132" t="s">
        <v>1180</v>
      </c>
      <c r="B132" t="s">
        <v>171</v>
      </c>
      <c r="C132">
        <f t="shared" si="12"/>
        <v>13</v>
      </c>
      <c r="D132">
        <f t="shared" si="13"/>
        <v>52</v>
      </c>
      <c r="E132">
        <f t="shared" si="14"/>
        <v>52</v>
      </c>
      <c r="F132" t="s">
        <v>439</v>
      </c>
      <c r="G132">
        <f t="shared" si="15"/>
        <v>32</v>
      </c>
      <c r="H132" t="s">
        <v>685</v>
      </c>
      <c r="I132" t="str">
        <f t="shared" si="16"/>
        <v>https://hl7.org/cda/us/ccda/Binary-deceased-observation-example.html</v>
      </c>
      <c r="J132" t="s">
        <v>1402</v>
      </c>
      <c r="K132" t="str">
        <f t="shared" si="17"/>
        <v>{ file:'2.16.840.1.113883.10.20.22.4.79.html', href:'https://hl7.org/cda/us/ccda/Binary-deceased-observation-example.html', text:'deceased-observation-example' },</v>
      </c>
    </row>
    <row r="133" spans="1:11" x14ac:dyDescent="0.25">
      <c r="A133" t="s">
        <v>1181</v>
      </c>
      <c r="B133" t="s">
        <v>172</v>
      </c>
      <c r="C133">
        <f t="shared" si="12"/>
        <v>13</v>
      </c>
      <c r="D133">
        <f t="shared" si="13"/>
        <v>53</v>
      </c>
      <c r="E133">
        <f t="shared" si="14"/>
        <v>53</v>
      </c>
      <c r="F133" t="s">
        <v>440</v>
      </c>
      <c r="G133">
        <f t="shared" si="15"/>
        <v>33</v>
      </c>
      <c r="H133" t="s">
        <v>686</v>
      </c>
      <c r="I133" t="str">
        <f t="shared" si="16"/>
        <v>https://hl7.org/cda/us/ccda/Binary-device-identifier-observation-example.html</v>
      </c>
      <c r="J133" t="s">
        <v>1403</v>
      </c>
      <c r="K133" t="str">
        <f t="shared" si="17"/>
        <v>{ file:'2.16.840.1.113883.10.20.22.4.304.html', href:'https://hl7.org/cda/us/ccda/Binary-device-identifier-observation-example.html', text:'device-identifier-observation-example' },</v>
      </c>
    </row>
    <row r="134" spans="1:11" x14ac:dyDescent="0.25">
      <c r="A134" t="s">
        <v>1182</v>
      </c>
      <c r="B134" t="s">
        <v>173</v>
      </c>
      <c r="C134">
        <f t="shared" si="12"/>
        <v>13</v>
      </c>
      <c r="D134" t="e">
        <f t="shared" si="13"/>
        <v>#VALUE!</v>
      </c>
      <c r="E134">
        <f t="shared" si="14"/>
        <v>100</v>
      </c>
      <c r="F134" t="s">
        <v>441</v>
      </c>
      <c r="G134">
        <f t="shared" si="15"/>
        <v>33</v>
      </c>
      <c r="H134" t="s">
        <v>687</v>
      </c>
      <c r="I134" t="str">
        <f t="shared" si="16"/>
        <v>https://hl7.org/cda/us/ccda/Binary-diagnosis-reference-example.html</v>
      </c>
      <c r="J134" t="s">
        <v>1404</v>
      </c>
      <c r="K134" t="str">
        <f t="shared" si="17"/>
        <v>{ file:'2.16.840.1.113883.10.20.22.4.122.html', href:'https://hl7.org/cda/us/ccda/Binary-diagnosis-reference-example.html', text:'diagnosis-reference-example' },</v>
      </c>
    </row>
    <row r="135" spans="1:11" x14ac:dyDescent="0.25">
      <c r="A135" t="s">
        <v>1182</v>
      </c>
      <c r="B135" t="s">
        <v>174</v>
      </c>
      <c r="C135">
        <f t="shared" si="12"/>
        <v>13</v>
      </c>
      <c r="D135">
        <f t="shared" si="13"/>
        <v>52</v>
      </c>
      <c r="E135">
        <f t="shared" si="14"/>
        <v>52</v>
      </c>
      <c r="F135" t="s">
        <v>442</v>
      </c>
      <c r="G135">
        <f t="shared" si="15"/>
        <v>32</v>
      </c>
      <c r="H135" t="s">
        <v>688</v>
      </c>
      <c r="I135" t="str">
        <f t="shared" si="16"/>
        <v>https://hl7.org/cda/us/ccda/Binary-diagnosis-reference-example.html</v>
      </c>
      <c r="J135" t="s">
        <v>1404</v>
      </c>
      <c r="K135" t="str">
        <f t="shared" si="17"/>
        <v>{ file:'2.16.840.1.113883.10.20.22.4.33.html', href:'https://hl7.org/cda/us/ccda/Binary-diagnosis-reference-example.html', text:'diagnosis-reference-example' },</v>
      </c>
    </row>
    <row r="136" spans="1:11" x14ac:dyDescent="0.25">
      <c r="A136" t="s">
        <v>1182</v>
      </c>
      <c r="B136" t="s">
        <v>173</v>
      </c>
      <c r="C136">
        <f t="shared" si="12"/>
        <v>13</v>
      </c>
      <c r="D136" t="e">
        <f t="shared" si="13"/>
        <v>#VALUE!</v>
      </c>
      <c r="E136">
        <f t="shared" si="14"/>
        <v>100</v>
      </c>
      <c r="F136" t="s">
        <v>441</v>
      </c>
      <c r="G136">
        <f t="shared" si="15"/>
        <v>33</v>
      </c>
      <c r="H136" t="s">
        <v>687</v>
      </c>
      <c r="I136" t="str">
        <f t="shared" si="16"/>
        <v>https://hl7.org/cda/us/ccda/Binary-diagnosis-reference-example.html</v>
      </c>
      <c r="J136" t="s">
        <v>1404</v>
      </c>
      <c r="K136" t="str">
        <f t="shared" si="17"/>
        <v>{ file:'2.16.840.1.113883.10.20.22.4.122.html', href:'https://hl7.org/cda/us/ccda/Binary-diagnosis-reference-example.html', text:'diagnosis-reference-example' },</v>
      </c>
    </row>
    <row r="137" spans="1:11" x14ac:dyDescent="0.25">
      <c r="A137" t="s">
        <v>1183</v>
      </c>
      <c r="B137" t="s">
        <v>71</v>
      </c>
      <c r="C137">
        <f t="shared" si="12"/>
        <v>14</v>
      </c>
      <c r="D137">
        <f t="shared" si="13"/>
        <v>54</v>
      </c>
      <c r="E137">
        <f t="shared" si="14"/>
        <v>54</v>
      </c>
      <c r="F137" t="s">
        <v>443</v>
      </c>
      <c r="G137">
        <f t="shared" si="15"/>
        <v>33</v>
      </c>
      <c r="H137" t="s">
        <v>689</v>
      </c>
      <c r="I137" t="str">
        <f t="shared" si="16"/>
        <v>https://hl7.org/cda/us/ccda/Binary-disability-status-observation-example.html</v>
      </c>
      <c r="J137" t="s">
        <v>1405</v>
      </c>
      <c r="K137" t="str">
        <f t="shared" si="17"/>
        <v>{ file:'2.16.840.1.113883.10.20.22.4.505.html', href:'https://hl7.org/cda/us/ccda/Binary-disability-status-observation-example.html', text:'disability-status-observation-example' },</v>
      </c>
    </row>
    <row r="138" spans="1:11" x14ac:dyDescent="0.25">
      <c r="A138" t="s">
        <v>1183</v>
      </c>
      <c r="B138" t="s">
        <v>72</v>
      </c>
      <c r="C138">
        <f t="shared" si="12"/>
        <v>16</v>
      </c>
      <c r="D138">
        <f t="shared" si="13"/>
        <v>55</v>
      </c>
      <c r="E138">
        <f t="shared" si="14"/>
        <v>55</v>
      </c>
      <c r="F138" t="s">
        <v>389</v>
      </c>
      <c r="G138">
        <f t="shared" si="15"/>
        <v>32</v>
      </c>
      <c r="H138" t="s">
        <v>635</v>
      </c>
      <c r="I138" t="str">
        <f t="shared" si="16"/>
        <v>https://hl7.org/cda/us/ccda/Binary-disability-status-observation-example.html</v>
      </c>
      <c r="J138" t="s">
        <v>1405</v>
      </c>
      <c r="K138" t="str">
        <f t="shared" si="17"/>
        <v>{ file:'2.16.840.1.113883.10.20.22.4.69.html', href:'https://hl7.org/cda/us/ccda/Binary-disability-status-observation-example.html', text:'disability-status-observation-example' },</v>
      </c>
    </row>
    <row r="139" spans="1:11" x14ac:dyDescent="0.25">
      <c r="A139" t="s">
        <v>1183</v>
      </c>
      <c r="B139" t="s">
        <v>73</v>
      </c>
      <c r="C139">
        <f t="shared" si="12"/>
        <v>18</v>
      </c>
      <c r="D139">
        <f t="shared" si="13"/>
        <v>57</v>
      </c>
      <c r="E139">
        <f t="shared" si="14"/>
        <v>57</v>
      </c>
      <c r="F139" t="s">
        <v>390</v>
      </c>
      <c r="G139">
        <f t="shared" si="15"/>
        <v>32</v>
      </c>
      <c r="H139" t="s">
        <v>636</v>
      </c>
      <c r="I139" t="str">
        <f t="shared" si="16"/>
        <v>https://hl7.org/cda/us/ccda/Binary-disability-status-observation-example.html</v>
      </c>
      <c r="J139" t="s">
        <v>1405</v>
      </c>
      <c r="K139" t="str">
        <f t="shared" si="17"/>
        <v>{ file:'2.16.840.1.113883.10.20.22.4.86.html', href:'https://hl7.org/cda/us/ccda/Binary-disability-status-observation-example.html', text:'disability-status-observation-example' },</v>
      </c>
    </row>
    <row r="140" spans="1:11" x14ac:dyDescent="0.25">
      <c r="A140" t="s">
        <v>1183</v>
      </c>
      <c r="B140" t="s">
        <v>73</v>
      </c>
      <c r="C140">
        <f t="shared" si="12"/>
        <v>18</v>
      </c>
      <c r="D140">
        <f t="shared" si="13"/>
        <v>57</v>
      </c>
      <c r="E140">
        <f t="shared" si="14"/>
        <v>57</v>
      </c>
      <c r="F140" t="s">
        <v>390</v>
      </c>
      <c r="G140">
        <f t="shared" si="15"/>
        <v>32</v>
      </c>
      <c r="H140" t="s">
        <v>636</v>
      </c>
      <c r="I140" t="str">
        <f t="shared" si="16"/>
        <v>https://hl7.org/cda/us/ccda/Binary-disability-status-observation-example.html</v>
      </c>
      <c r="J140" t="s">
        <v>1405</v>
      </c>
      <c r="K140" t="str">
        <f t="shared" si="17"/>
        <v>{ file:'2.16.840.1.113883.10.20.22.4.86.html', href:'https://hl7.org/cda/us/ccda/Binary-disability-status-observation-example.html', text:'disability-status-observation-example' },</v>
      </c>
    </row>
    <row r="141" spans="1:11" x14ac:dyDescent="0.25">
      <c r="A141" t="s">
        <v>1183</v>
      </c>
      <c r="B141" t="s">
        <v>73</v>
      </c>
      <c r="C141">
        <f t="shared" si="12"/>
        <v>18</v>
      </c>
      <c r="D141">
        <f t="shared" si="13"/>
        <v>57</v>
      </c>
      <c r="E141">
        <f t="shared" si="14"/>
        <v>57</v>
      </c>
      <c r="F141" t="s">
        <v>390</v>
      </c>
      <c r="G141">
        <f t="shared" si="15"/>
        <v>32</v>
      </c>
      <c r="H141" t="s">
        <v>636</v>
      </c>
      <c r="I141" t="str">
        <f t="shared" si="16"/>
        <v>https://hl7.org/cda/us/ccda/Binary-disability-status-observation-example.html</v>
      </c>
      <c r="J141" t="s">
        <v>1405</v>
      </c>
      <c r="K141" t="str">
        <f t="shared" si="17"/>
        <v>{ file:'2.16.840.1.113883.10.20.22.4.86.html', href:'https://hl7.org/cda/us/ccda/Binary-disability-status-observation-example.html', text:'disability-status-observation-example' },</v>
      </c>
    </row>
    <row r="142" spans="1:11" x14ac:dyDescent="0.25">
      <c r="A142" t="s">
        <v>1183</v>
      </c>
      <c r="B142" t="s">
        <v>73</v>
      </c>
      <c r="C142">
        <f t="shared" si="12"/>
        <v>18</v>
      </c>
      <c r="D142">
        <f t="shared" si="13"/>
        <v>57</v>
      </c>
      <c r="E142">
        <f t="shared" si="14"/>
        <v>57</v>
      </c>
      <c r="F142" t="s">
        <v>390</v>
      </c>
      <c r="G142">
        <f t="shared" si="15"/>
        <v>32</v>
      </c>
      <c r="H142" t="s">
        <v>636</v>
      </c>
      <c r="I142" t="str">
        <f t="shared" si="16"/>
        <v>https://hl7.org/cda/us/ccda/Binary-disability-status-observation-example.html</v>
      </c>
      <c r="J142" t="s">
        <v>1405</v>
      </c>
      <c r="K142" t="str">
        <f t="shared" si="17"/>
        <v>{ file:'2.16.840.1.113883.10.20.22.4.86.html', href:'https://hl7.org/cda/us/ccda/Binary-disability-status-observation-example.html', text:'disability-status-observation-example' },</v>
      </c>
    </row>
    <row r="143" spans="1:11" x14ac:dyDescent="0.25">
      <c r="A143" t="s">
        <v>1183</v>
      </c>
      <c r="B143" t="s">
        <v>73</v>
      </c>
      <c r="C143">
        <f t="shared" si="12"/>
        <v>18</v>
      </c>
      <c r="D143">
        <f t="shared" si="13"/>
        <v>57</v>
      </c>
      <c r="E143">
        <f t="shared" si="14"/>
        <v>57</v>
      </c>
      <c r="F143" t="s">
        <v>390</v>
      </c>
      <c r="G143">
        <f t="shared" si="15"/>
        <v>32</v>
      </c>
      <c r="H143" t="s">
        <v>636</v>
      </c>
      <c r="I143" t="str">
        <f t="shared" si="16"/>
        <v>https://hl7.org/cda/us/ccda/Binary-disability-status-observation-example.html</v>
      </c>
      <c r="J143" t="s">
        <v>1405</v>
      </c>
      <c r="K143" t="str">
        <f t="shared" si="17"/>
        <v>{ file:'2.16.840.1.113883.10.20.22.4.86.html', href:'https://hl7.org/cda/us/ccda/Binary-disability-status-observation-example.html', text:'disability-status-observation-example' },</v>
      </c>
    </row>
    <row r="144" spans="1:11" x14ac:dyDescent="0.25">
      <c r="A144" t="s">
        <v>1183</v>
      </c>
      <c r="B144" t="s">
        <v>73</v>
      </c>
      <c r="C144">
        <f t="shared" si="12"/>
        <v>18</v>
      </c>
      <c r="D144">
        <f t="shared" si="13"/>
        <v>57</v>
      </c>
      <c r="E144">
        <f t="shared" si="14"/>
        <v>57</v>
      </c>
      <c r="F144" t="s">
        <v>390</v>
      </c>
      <c r="G144">
        <f t="shared" si="15"/>
        <v>32</v>
      </c>
      <c r="H144" t="s">
        <v>636</v>
      </c>
      <c r="I144" t="str">
        <f t="shared" si="16"/>
        <v>https://hl7.org/cda/us/ccda/Binary-disability-status-observation-example.html</v>
      </c>
      <c r="J144" t="s">
        <v>1405</v>
      </c>
      <c r="K144" t="str">
        <f t="shared" si="17"/>
        <v>{ file:'2.16.840.1.113883.10.20.22.4.86.html', href:'https://hl7.org/cda/us/ccda/Binary-disability-status-observation-example.html', text:'disability-status-observation-example' },</v>
      </c>
    </row>
    <row r="145" spans="1:11" x14ac:dyDescent="0.25">
      <c r="A145" t="s">
        <v>1184</v>
      </c>
      <c r="B145" t="s">
        <v>14</v>
      </c>
      <c r="C145">
        <f t="shared" si="12"/>
        <v>13</v>
      </c>
      <c r="D145">
        <f t="shared" si="13"/>
        <v>52</v>
      </c>
      <c r="E145">
        <f t="shared" si="14"/>
        <v>52</v>
      </c>
      <c r="F145" t="s">
        <v>444</v>
      </c>
      <c r="G145">
        <f t="shared" si="15"/>
        <v>32</v>
      </c>
      <c r="H145" t="s">
        <v>690</v>
      </c>
      <c r="I145" t="str">
        <f t="shared" si="16"/>
        <v>https://hl7.org/cda/us/ccda/Binary-discharge-diagnosis-section-example.html</v>
      </c>
      <c r="J145" t="s">
        <v>1406</v>
      </c>
      <c r="K145" t="str">
        <f t="shared" si="17"/>
        <v>{ file:'2.16.840.1.113883.10.20.22.2.24.html', href:'https://hl7.org/cda/us/ccda/Binary-discharge-diagnosis-section-example.html', text:'discharge-diagnosis-section-example' },</v>
      </c>
    </row>
    <row r="146" spans="1:11" x14ac:dyDescent="0.25">
      <c r="A146" t="s">
        <v>1184</v>
      </c>
      <c r="B146" t="s">
        <v>175</v>
      </c>
      <c r="C146">
        <f t="shared" si="12"/>
        <v>13</v>
      </c>
      <c r="D146">
        <f t="shared" si="13"/>
        <v>52</v>
      </c>
      <c r="E146">
        <f t="shared" si="14"/>
        <v>52</v>
      </c>
      <c r="F146" t="s">
        <v>442</v>
      </c>
      <c r="G146">
        <f t="shared" si="15"/>
        <v>32</v>
      </c>
      <c r="H146" t="s">
        <v>688</v>
      </c>
      <c r="I146" t="str">
        <f t="shared" si="16"/>
        <v>https://hl7.org/cda/us/ccda/Binary-discharge-diagnosis-section-example.html</v>
      </c>
      <c r="J146" t="s">
        <v>1406</v>
      </c>
      <c r="K146" t="str">
        <f t="shared" si="17"/>
        <v>{ file:'2.16.840.1.113883.10.20.22.4.33.html', href:'https://hl7.org/cda/us/ccda/Binary-discharge-diagnosis-section-example.html', text:'discharge-diagnosis-section-example' },</v>
      </c>
    </row>
    <row r="147" spans="1:11" x14ac:dyDescent="0.25">
      <c r="A147" t="s">
        <v>1184</v>
      </c>
      <c r="B147" t="s">
        <v>117</v>
      </c>
      <c r="C147">
        <f t="shared" si="12"/>
        <v>13</v>
      </c>
      <c r="D147">
        <f t="shared" si="13"/>
        <v>51</v>
      </c>
      <c r="E147">
        <f t="shared" si="14"/>
        <v>51</v>
      </c>
      <c r="F147" t="s">
        <v>365</v>
      </c>
      <c r="G147">
        <f t="shared" si="15"/>
        <v>31</v>
      </c>
      <c r="H147" t="s">
        <v>613</v>
      </c>
      <c r="I147" t="str">
        <f t="shared" si="16"/>
        <v>https://hl7.org/cda/us/ccda/Binary-discharge-diagnosis-section-example.html</v>
      </c>
      <c r="J147" t="s">
        <v>1406</v>
      </c>
      <c r="K147" t="str">
        <f t="shared" si="17"/>
        <v>{ file:'2.16.840.1.113883.10.20.22.4.4.html', href:'https://hl7.org/cda/us/ccda/Binary-discharge-diagnosis-section-example.html', text:'discharge-diagnosis-section-example' },</v>
      </c>
    </row>
    <row r="148" spans="1:11" x14ac:dyDescent="0.25">
      <c r="A148" t="s">
        <v>1185</v>
      </c>
      <c r="B148" t="s">
        <v>176</v>
      </c>
      <c r="C148">
        <f t="shared" si="12"/>
        <v>13</v>
      </c>
      <c r="D148">
        <f t="shared" si="13"/>
        <v>52</v>
      </c>
      <c r="E148">
        <f t="shared" si="14"/>
        <v>52</v>
      </c>
      <c r="F148" t="s">
        <v>445</v>
      </c>
      <c r="G148">
        <f t="shared" si="15"/>
        <v>32</v>
      </c>
      <c r="H148" t="s">
        <v>691</v>
      </c>
      <c r="I148" t="str">
        <f t="shared" si="16"/>
        <v>https://hl7.org/cda/us/ccda/Binary-discharge-medication-example.html</v>
      </c>
      <c r="J148" t="s">
        <v>1407</v>
      </c>
      <c r="K148" t="str">
        <f t="shared" si="17"/>
        <v>{ file:'2.16.840.1.113883.10.20.22.4.35.html', href:'https://hl7.org/cda/us/ccda/Binary-discharge-medication-example.html', text:'discharge-medication-example' },</v>
      </c>
    </row>
    <row r="149" spans="1:11" x14ac:dyDescent="0.25">
      <c r="A149" t="s">
        <v>1185</v>
      </c>
      <c r="B149" t="s">
        <v>119</v>
      </c>
      <c r="C149">
        <f t="shared" si="12"/>
        <v>13</v>
      </c>
      <c r="D149" t="e">
        <f t="shared" si="13"/>
        <v>#VALUE!</v>
      </c>
      <c r="E149">
        <f t="shared" si="14"/>
        <v>100</v>
      </c>
      <c r="F149" t="s">
        <v>367</v>
      </c>
      <c r="G149">
        <f t="shared" si="15"/>
        <v>32</v>
      </c>
      <c r="H149" t="s">
        <v>615</v>
      </c>
      <c r="I149" t="str">
        <f t="shared" si="16"/>
        <v>https://hl7.org/cda/us/ccda/Binary-discharge-medication-example.html</v>
      </c>
      <c r="J149" t="s">
        <v>1407</v>
      </c>
      <c r="K149" t="str">
        <f t="shared" si="17"/>
        <v>{ file:'2.16.840.1.113883.10.20.22.4.16.html', href:'https://hl7.org/cda/us/ccda/Binary-discharge-medication-example.html', text:'discharge-medication-example' },</v>
      </c>
    </row>
    <row r="150" spans="1:11" x14ac:dyDescent="0.25">
      <c r="A150" t="s">
        <v>1185</v>
      </c>
      <c r="B150" t="s">
        <v>120</v>
      </c>
      <c r="C150">
        <f t="shared" si="12"/>
        <v>13</v>
      </c>
      <c r="D150" t="e">
        <f t="shared" si="13"/>
        <v>#VALUE!</v>
      </c>
      <c r="E150">
        <f t="shared" si="14"/>
        <v>100</v>
      </c>
      <c r="F150" t="s">
        <v>368</v>
      </c>
      <c r="G150">
        <f t="shared" si="15"/>
        <v>32</v>
      </c>
      <c r="H150" t="s">
        <v>616</v>
      </c>
      <c r="I150" t="str">
        <f t="shared" si="16"/>
        <v>https://hl7.org/cda/us/ccda/Binary-discharge-medication-example.html</v>
      </c>
      <c r="J150" t="s">
        <v>1407</v>
      </c>
      <c r="K150" t="str">
        <f t="shared" si="17"/>
        <v>{ file:'2.16.840.1.113883.10.20.22.4.23.html', href:'https://hl7.org/cda/us/ccda/Binary-discharge-medication-example.html', text:'discharge-medication-example' },</v>
      </c>
    </row>
    <row r="151" spans="1:11" x14ac:dyDescent="0.25">
      <c r="A151" t="s">
        <v>1186</v>
      </c>
      <c r="B151" t="s">
        <v>17</v>
      </c>
      <c r="C151">
        <f t="shared" si="12"/>
        <v>13</v>
      </c>
      <c r="D151">
        <f t="shared" si="13"/>
        <v>54</v>
      </c>
      <c r="E151">
        <f t="shared" si="14"/>
        <v>54</v>
      </c>
      <c r="F151" t="s">
        <v>446</v>
      </c>
      <c r="G151">
        <f t="shared" si="15"/>
        <v>34</v>
      </c>
      <c r="H151" t="s">
        <v>692</v>
      </c>
      <c r="I151" t="str">
        <f t="shared" si="16"/>
        <v>https://hl7.org/cda/us/ccda/Binary-discharge-medications-section-example.html</v>
      </c>
      <c r="J151" t="s">
        <v>1408</v>
      </c>
      <c r="K151" t="str">
        <f t="shared" si="17"/>
        <v>{ file:'2.16.840.1.113883.10.20.22.2.11.1.html', href:'https://hl7.org/cda/us/ccda/Binary-discharge-medications-section-example.html', text:'discharge-medications-section-example' },</v>
      </c>
    </row>
    <row r="152" spans="1:11" x14ac:dyDescent="0.25">
      <c r="A152" t="s">
        <v>1186</v>
      </c>
      <c r="B152" t="s">
        <v>176</v>
      </c>
      <c r="C152">
        <f t="shared" si="12"/>
        <v>13</v>
      </c>
      <c r="D152">
        <f t="shared" si="13"/>
        <v>52</v>
      </c>
      <c r="E152">
        <f t="shared" si="14"/>
        <v>52</v>
      </c>
      <c r="F152" t="s">
        <v>445</v>
      </c>
      <c r="G152">
        <f t="shared" si="15"/>
        <v>32</v>
      </c>
      <c r="H152" t="s">
        <v>691</v>
      </c>
      <c r="I152" t="str">
        <f t="shared" si="16"/>
        <v>https://hl7.org/cda/us/ccda/Binary-discharge-medications-section-example.html</v>
      </c>
      <c r="J152" t="s">
        <v>1408</v>
      </c>
      <c r="K152" t="str">
        <f t="shared" si="17"/>
        <v>{ file:'2.16.840.1.113883.10.20.22.4.35.html', href:'https://hl7.org/cda/us/ccda/Binary-discharge-medications-section-example.html', text:'discharge-medications-section-example' },</v>
      </c>
    </row>
    <row r="153" spans="1:11" x14ac:dyDescent="0.25">
      <c r="A153" t="s">
        <v>1186</v>
      </c>
      <c r="B153" t="s">
        <v>119</v>
      </c>
      <c r="C153">
        <f t="shared" si="12"/>
        <v>13</v>
      </c>
      <c r="D153" t="e">
        <f t="shared" si="13"/>
        <v>#VALUE!</v>
      </c>
      <c r="E153">
        <f t="shared" si="14"/>
        <v>100</v>
      </c>
      <c r="F153" t="s">
        <v>367</v>
      </c>
      <c r="G153">
        <f t="shared" si="15"/>
        <v>32</v>
      </c>
      <c r="H153" t="s">
        <v>615</v>
      </c>
      <c r="I153" t="str">
        <f t="shared" si="16"/>
        <v>https://hl7.org/cda/us/ccda/Binary-discharge-medications-section-example.html</v>
      </c>
      <c r="J153" t="s">
        <v>1408</v>
      </c>
      <c r="K153" t="str">
        <f t="shared" si="17"/>
        <v>{ file:'2.16.840.1.113883.10.20.22.4.16.html', href:'https://hl7.org/cda/us/ccda/Binary-discharge-medications-section-example.html', text:'discharge-medications-section-example' },</v>
      </c>
    </row>
    <row r="154" spans="1:11" x14ac:dyDescent="0.25">
      <c r="A154" t="s">
        <v>1186</v>
      </c>
      <c r="B154" t="s">
        <v>120</v>
      </c>
      <c r="C154">
        <f t="shared" si="12"/>
        <v>13</v>
      </c>
      <c r="D154" t="e">
        <f t="shared" si="13"/>
        <v>#VALUE!</v>
      </c>
      <c r="E154">
        <f t="shared" si="14"/>
        <v>100</v>
      </c>
      <c r="F154" t="s">
        <v>368</v>
      </c>
      <c r="G154">
        <f t="shared" si="15"/>
        <v>32</v>
      </c>
      <c r="H154" t="s">
        <v>616</v>
      </c>
      <c r="I154" t="str">
        <f t="shared" si="16"/>
        <v>https://hl7.org/cda/us/ccda/Binary-discharge-medications-section-example.html</v>
      </c>
      <c r="J154" t="s">
        <v>1408</v>
      </c>
      <c r="K154" t="str">
        <f t="shared" si="17"/>
        <v>{ file:'2.16.840.1.113883.10.20.22.4.23.html', href:'https://hl7.org/cda/us/ccda/Binary-discharge-medications-section-example.html', text:'discharge-medications-section-example' },</v>
      </c>
    </row>
    <row r="155" spans="1:11" x14ac:dyDescent="0.25">
      <c r="A155" t="s">
        <v>1187</v>
      </c>
      <c r="B155" t="s">
        <v>60</v>
      </c>
      <c r="C155">
        <f t="shared" si="12"/>
        <v>14</v>
      </c>
      <c r="D155">
        <f t="shared" si="13"/>
        <v>52</v>
      </c>
      <c r="E155">
        <f t="shared" si="14"/>
        <v>52</v>
      </c>
      <c r="F155" t="s">
        <v>400</v>
      </c>
      <c r="G155">
        <f t="shared" si="15"/>
        <v>31</v>
      </c>
      <c r="H155" t="s">
        <v>646</v>
      </c>
      <c r="I155" t="str">
        <f t="shared" si="16"/>
        <v>https://hl7.org/cda/us/ccda/Binary-discharge-summary-header-example.html</v>
      </c>
      <c r="J155" t="s">
        <v>1409</v>
      </c>
      <c r="K155" t="str">
        <f t="shared" si="17"/>
        <v>{ file:'2.16.840.1.113883.10.20.22.1.1.html', href:'https://hl7.org/cda/us/ccda/Binary-discharge-summary-header-example.html', text:'discharge-summary-header-example' },</v>
      </c>
    </row>
    <row r="156" spans="1:11" x14ac:dyDescent="0.25">
      <c r="A156" t="s">
        <v>1187</v>
      </c>
      <c r="B156" t="s">
        <v>74</v>
      </c>
      <c r="C156">
        <f t="shared" si="12"/>
        <v>14</v>
      </c>
      <c r="D156">
        <f t="shared" si="13"/>
        <v>52</v>
      </c>
      <c r="E156">
        <f t="shared" si="14"/>
        <v>52</v>
      </c>
      <c r="F156" t="s">
        <v>447</v>
      </c>
      <c r="G156">
        <f t="shared" si="15"/>
        <v>31</v>
      </c>
      <c r="H156" t="s">
        <v>693</v>
      </c>
      <c r="I156" t="str">
        <f t="shared" si="16"/>
        <v>https://hl7.org/cda/us/ccda/Binary-discharge-summary-header-example.html</v>
      </c>
      <c r="J156" t="s">
        <v>1409</v>
      </c>
      <c r="K156" t="str">
        <f t="shared" si="17"/>
        <v>{ file:'2.16.840.1.113883.10.20.22.1.8.html', href:'https://hl7.org/cda/us/ccda/Binary-discharge-summary-header-example.html', text:'discharge-summary-header-example' },</v>
      </c>
    </row>
    <row r="157" spans="1:11" x14ac:dyDescent="0.25">
      <c r="A157" t="s">
        <v>1187</v>
      </c>
      <c r="B157" t="s">
        <v>75</v>
      </c>
      <c r="C157">
        <f t="shared" si="12"/>
        <v>18</v>
      </c>
      <c r="D157" t="e">
        <f t="shared" si="13"/>
        <v>#VALUE!</v>
      </c>
      <c r="E157">
        <f t="shared" si="14"/>
        <v>100</v>
      </c>
      <c r="F157" t="s">
        <v>448</v>
      </c>
      <c r="G157">
        <f t="shared" si="15"/>
        <v>30</v>
      </c>
      <c r="H157" t="s">
        <v>694</v>
      </c>
      <c r="I157" t="str">
        <f t="shared" si="16"/>
        <v>https://hl7.org/cda/us/ccda/Binary-discharge-summary-header-example.html</v>
      </c>
      <c r="J157" t="s">
        <v>1409</v>
      </c>
      <c r="K157" t="str">
        <f t="shared" si="17"/>
        <v>{ file:'1.3.6.1.4.1.19376.1.5.3.1.3.5.html', href:'https://hl7.org/cda/us/ccda/Binary-discharge-summary-header-example.html', text:'discharge-summary-header-example' },</v>
      </c>
    </row>
    <row r="158" spans="1:11" x14ac:dyDescent="0.25">
      <c r="A158" t="s">
        <v>1187</v>
      </c>
      <c r="B158" t="s">
        <v>76</v>
      </c>
      <c r="C158">
        <f t="shared" si="12"/>
        <v>18</v>
      </c>
      <c r="D158">
        <f t="shared" si="13"/>
        <v>57</v>
      </c>
      <c r="E158">
        <f t="shared" si="14"/>
        <v>57</v>
      </c>
      <c r="F158" t="s">
        <v>444</v>
      </c>
      <c r="G158">
        <f t="shared" si="15"/>
        <v>32</v>
      </c>
      <c r="H158" t="s">
        <v>690</v>
      </c>
      <c r="I158" t="str">
        <f t="shared" si="16"/>
        <v>https://hl7.org/cda/us/ccda/Binary-discharge-summary-header-example.html</v>
      </c>
      <c r="J158" t="s">
        <v>1409</v>
      </c>
      <c r="K158" t="str">
        <f t="shared" si="17"/>
        <v>{ file:'2.16.840.1.113883.10.20.22.2.24.html', href:'https://hl7.org/cda/us/ccda/Binary-discharge-summary-header-example.html', text:'discharge-summary-header-example' },</v>
      </c>
    </row>
    <row r="159" spans="1:11" x14ac:dyDescent="0.25">
      <c r="A159" t="s">
        <v>1187</v>
      </c>
      <c r="B159" t="s">
        <v>77</v>
      </c>
      <c r="C159">
        <f t="shared" si="12"/>
        <v>18</v>
      </c>
      <c r="D159">
        <f t="shared" si="13"/>
        <v>57</v>
      </c>
      <c r="E159">
        <f t="shared" si="14"/>
        <v>57</v>
      </c>
      <c r="F159" t="s">
        <v>449</v>
      </c>
      <c r="G159">
        <f t="shared" si="15"/>
        <v>32</v>
      </c>
      <c r="H159" t="s">
        <v>695</v>
      </c>
      <c r="I159" t="str">
        <f t="shared" si="16"/>
        <v>https://hl7.org/cda/us/ccda/Binary-discharge-summary-header-example.html</v>
      </c>
      <c r="J159" t="s">
        <v>1409</v>
      </c>
      <c r="K159" t="str">
        <f t="shared" si="17"/>
        <v>{ file:'2.16.840.1.113883.10.20.22.2.10.html', href:'https://hl7.org/cda/us/ccda/Binary-discharge-summary-header-example.html', text:'discharge-summary-header-example' },</v>
      </c>
    </row>
    <row r="160" spans="1:11" x14ac:dyDescent="0.25">
      <c r="A160" t="s">
        <v>1187</v>
      </c>
      <c r="B160" t="s">
        <v>78</v>
      </c>
      <c r="C160">
        <f t="shared" si="12"/>
        <v>18</v>
      </c>
      <c r="D160" t="e">
        <f t="shared" si="13"/>
        <v>#VALUE!</v>
      </c>
      <c r="E160">
        <f t="shared" si="14"/>
        <v>100</v>
      </c>
      <c r="F160" t="s">
        <v>450</v>
      </c>
      <c r="G160">
        <f t="shared" si="15"/>
        <v>32</v>
      </c>
      <c r="H160" t="s">
        <v>696</v>
      </c>
      <c r="I160" t="str">
        <f t="shared" si="16"/>
        <v>https://hl7.org/cda/us/ccda/Binary-discharge-summary-header-example.html</v>
      </c>
      <c r="J160" t="s">
        <v>1409</v>
      </c>
      <c r="K160" t="str">
        <f t="shared" si="17"/>
        <v>{ file:'2.16.840.1.113883.10.20.22.2.42.html', href:'https://hl7.org/cda/us/ccda/Binary-discharge-summary-header-example.html', text:'discharge-summary-header-example' },</v>
      </c>
    </row>
    <row r="161" spans="1:11" x14ac:dyDescent="0.25">
      <c r="A161" t="s">
        <v>1187</v>
      </c>
      <c r="B161" t="s">
        <v>79</v>
      </c>
      <c r="C161">
        <f t="shared" si="12"/>
        <v>18</v>
      </c>
      <c r="D161">
        <f t="shared" si="13"/>
        <v>59</v>
      </c>
      <c r="E161">
        <f t="shared" si="14"/>
        <v>59</v>
      </c>
      <c r="F161" t="s">
        <v>446</v>
      </c>
      <c r="G161">
        <f t="shared" si="15"/>
        <v>34</v>
      </c>
      <c r="H161" t="s">
        <v>692</v>
      </c>
      <c r="I161" t="str">
        <f t="shared" si="16"/>
        <v>https://hl7.org/cda/us/ccda/Binary-discharge-summary-header-example.html</v>
      </c>
      <c r="J161" t="s">
        <v>1409</v>
      </c>
      <c r="K161" t="str">
        <f t="shared" si="17"/>
        <v>{ file:'2.16.840.1.113883.10.20.22.2.11.1.html', href:'https://hl7.org/cda/us/ccda/Binary-discharge-summary-header-example.html', text:'discharge-summary-header-example' },</v>
      </c>
    </row>
    <row r="162" spans="1:11" x14ac:dyDescent="0.25">
      <c r="A162" t="s">
        <v>1187</v>
      </c>
      <c r="B162" t="s">
        <v>62</v>
      </c>
      <c r="C162">
        <f t="shared" si="12"/>
        <v>18</v>
      </c>
      <c r="D162">
        <f t="shared" si="13"/>
        <v>58</v>
      </c>
      <c r="E162">
        <f t="shared" si="14"/>
        <v>58</v>
      </c>
      <c r="F162" t="s">
        <v>376</v>
      </c>
      <c r="G162">
        <f t="shared" si="15"/>
        <v>33</v>
      </c>
      <c r="H162" t="s">
        <v>624</v>
      </c>
      <c r="I162" t="str">
        <f t="shared" si="16"/>
        <v>https://hl7.org/cda/us/ccda/Binary-discharge-summary-header-example.html</v>
      </c>
      <c r="J162" t="s">
        <v>1409</v>
      </c>
      <c r="K162" t="str">
        <f t="shared" si="17"/>
        <v>{ file:'2.16.840.1.113883.10.20.22.2.6.1.html', href:'https://hl7.org/cda/us/ccda/Binary-discharge-summary-header-example.html', text:'discharge-summary-header-example' },</v>
      </c>
    </row>
    <row r="163" spans="1:11" x14ac:dyDescent="0.25">
      <c r="A163" t="s">
        <v>1187</v>
      </c>
      <c r="B163" t="s">
        <v>67</v>
      </c>
      <c r="C163">
        <f t="shared" si="12"/>
        <v>18</v>
      </c>
      <c r="D163">
        <f t="shared" si="13"/>
        <v>58</v>
      </c>
      <c r="E163">
        <f t="shared" si="14"/>
        <v>58</v>
      </c>
      <c r="F163" t="s">
        <v>419</v>
      </c>
      <c r="G163">
        <f t="shared" si="15"/>
        <v>33</v>
      </c>
      <c r="H163" t="s">
        <v>665</v>
      </c>
      <c r="I163" t="str">
        <f t="shared" si="16"/>
        <v>https://hl7.org/cda/us/ccda/Binary-discharge-summary-header-example.html</v>
      </c>
      <c r="J163" t="s">
        <v>1409</v>
      </c>
      <c r="K163" t="str">
        <f t="shared" si="17"/>
        <v>{ file:'2.16.840.1.113883.10.20.22.2.3.1.html', href:'https://hl7.org/cda/us/ccda/Binary-discharge-summary-header-example.html', text:'discharge-summary-header-example' },</v>
      </c>
    </row>
    <row r="164" spans="1:11" x14ac:dyDescent="0.25">
      <c r="A164" t="s">
        <v>1187</v>
      </c>
      <c r="B164" t="s">
        <v>80</v>
      </c>
      <c r="C164">
        <f t="shared" si="12"/>
        <v>18</v>
      </c>
      <c r="D164">
        <f t="shared" si="13"/>
        <v>58</v>
      </c>
      <c r="E164">
        <f t="shared" si="14"/>
        <v>58</v>
      </c>
      <c r="F164" t="s">
        <v>451</v>
      </c>
      <c r="G164">
        <f t="shared" si="15"/>
        <v>33</v>
      </c>
      <c r="H164" t="s">
        <v>697</v>
      </c>
      <c r="I164" t="str">
        <f t="shared" si="16"/>
        <v>https://hl7.org/cda/us/ccda/Binary-discharge-summary-header-example.html</v>
      </c>
      <c r="J164" t="s">
        <v>1409</v>
      </c>
      <c r="K164" t="str">
        <f t="shared" si="17"/>
        <v>{ file:'2.16.840.1.113883.10.20.22.2.7.1.html', href:'https://hl7.org/cda/us/ccda/Binary-discharge-summary-header-example.html', text:'discharge-summary-header-example' },</v>
      </c>
    </row>
    <row r="165" spans="1:11" x14ac:dyDescent="0.25">
      <c r="A165" t="s">
        <v>1188</v>
      </c>
      <c r="B165" t="s">
        <v>177</v>
      </c>
      <c r="C165">
        <f t="shared" si="12"/>
        <v>13</v>
      </c>
      <c r="D165">
        <f t="shared" si="13"/>
        <v>53</v>
      </c>
      <c r="E165">
        <f t="shared" si="14"/>
        <v>53</v>
      </c>
      <c r="F165" t="s">
        <v>452</v>
      </c>
      <c r="G165">
        <f t="shared" si="15"/>
        <v>33</v>
      </c>
      <c r="H165" t="s">
        <v>698</v>
      </c>
      <c r="I165" t="str">
        <f t="shared" si="16"/>
        <v>https://hl7.org/cda/us/ccda/Binary-distinct-identification-code-observation-example.html</v>
      </c>
      <c r="J165" t="s">
        <v>1410</v>
      </c>
      <c r="K165" t="str">
        <f t="shared" si="17"/>
        <v>{ file:'2.16.840.1.113883.10.20.22.4.308.html', href:'https://hl7.org/cda/us/ccda/Binary-distinct-identification-code-observation-example.html', text:'distinct-identification-code-observation-example' },</v>
      </c>
    </row>
    <row r="166" spans="1:11" x14ac:dyDescent="0.25">
      <c r="A166" t="s">
        <v>1189</v>
      </c>
      <c r="B166" t="s">
        <v>178</v>
      </c>
      <c r="C166">
        <f t="shared" si="12"/>
        <v>13</v>
      </c>
      <c r="D166" t="e">
        <f t="shared" si="13"/>
        <v>#VALUE!</v>
      </c>
      <c r="E166">
        <f t="shared" si="14"/>
        <v>100</v>
      </c>
      <c r="F166" t="s">
        <v>453</v>
      </c>
      <c r="G166">
        <f t="shared" si="15"/>
        <v>33</v>
      </c>
      <c r="H166" t="s">
        <v>699</v>
      </c>
      <c r="I166" t="str">
        <f t="shared" si="16"/>
        <v>https://hl7.org/cda/us/ccda/Binary-drug-monitoring-act-example.html</v>
      </c>
      <c r="J166" t="s">
        <v>1411</v>
      </c>
      <c r="K166" t="str">
        <f t="shared" si="17"/>
        <v>{ file:'2.16.840.1.113883.10.20.22.4.123.html', href:'https://hl7.org/cda/us/ccda/Binary-drug-monitoring-act-example.html', text:'drug-monitoring-act-example' },</v>
      </c>
    </row>
    <row r="167" spans="1:11" x14ac:dyDescent="0.25">
      <c r="A167" t="s">
        <v>1190</v>
      </c>
      <c r="B167" t="s">
        <v>179</v>
      </c>
      <c r="C167">
        <f t="shared" si="12"/>
        <v>13</v>
      </c>
      <c r="D167" t="e">
        <f t="shared" si="13"/>
        <v>#VALUE!</v>
      </c>
      <c r="E167">
        <f t="shared" si="14"/>
        <v>100</v>
      </c>
      <c r="F167" t="s">
        <v>454</v>
      </c>
      <c r="G167">
        <f t="shared" si="15"/>
        <v>32</v>
      </c>
      <c r="H167" t="s">
        <v>700</v>
      </c>
      <c r="I167" t="str">
        <f t="shared" si="16"/>
        <v>https://hl7.org/cda/us/ccda/Binary-drug-vehicle-example.html</v>
      </c>
      <c r="J167" t="s">
        <v>1412</v>
      </c>
      <c r="K167" t="str">
        <f t="shared" si="17"/>
        <v>{ file:'2.16.840.1.113883.10.20.22.4.24.html', href:'https://hl7.org/cda/us/ccda/Binary-drug-vehicle-example.html', text:'drug-vehicle-example' },</v>
      </c>
    </row>
    <row r="168" spans="1:11" x14ac:dyDescent="0.25">
      <c r="A168" t="s">
        <v>1191</v>
      </c>
      <c r="B168" t="s">
        <v>151</v>
      </c>
      <c r="C168">
        <f t="shared" si="12"/>
        <v>13</v>
      </c>
      <c r="D168">
        <f t="shared" si="13"/>
        <v>52</v>
      </c>
      <c r="E168">
        <f t="shared" si="14"/>
        <v>52</v>
      </c>
      <c r="F168" t="s">
        <v>406</v>
      </c>
      <c r="G168">
        <f t="shared" si="15"/>
        <v>32</v>
      </c>
      <c r="H168" t="s">
        <v>652</v>
      </c>
      <c r="I168" t="str">
        <f t="shared" si="16"/>
        <v>https://hl7.org/cda/us/ccda/Binary-encounter-activity-example.html</v>
      </c>
      <c r="J168" t="s">
        <v>1413</v>
      </c>
      <c r="K168" t="str">
        <f t="shared" si="17"/>
        <v>{ file:'2.16.840.1.113883.10.20.22.4.49.html', href:'https://hl7.org/cda/us/ccda/Binary-encounter-activity-example.html', text:'encounter-activity-example' },</v>
      </c>
    </row>
    <row r="169" spans="1:11" x14ac:dyDescent="0.25">
      <c r="A169" t="s">
        <v>1191</v>
      </c>
      <c r="B169" t="s">
        <v>180</v>
      </c>
      <c r="C169">
        <f t="shared" si="12"/>
        <v>13</v>
      </c>
      <c r="D169" t="e">
        <f t="shared" si="13"/>
        <v>#VALUE!</v>
      </c>
      <c r="E169">
        <f t="shared" si="14"/>
        <v>100</v>
      </c>
      <c r="F169" t="s">
        <v>455</v>
      </c>
      <c r="G169">
        <f t="shared" si="15"/>
        <v>32</v>
      </c>
      <c r="H169" t="s">
        <v>701</v>
      </c>
      <c r="I169" t="str">
        <f t="shared" si="16"/>
        <v>https://hl7.org/cda/us/ccda/Binary-encounter-activity-example.html</v>
      </c>
      <c r="J169" t="s">
        <v>1413</v>
      </c>
      <c r="K169" t="str">
        <f t="shared" si="17"/>
        <v>{ file:'2.16.840.1.113883.10.20.22.4.32.html', href:'https://hl7.org/cda/us/ccda/Binary-encounter-activity-example.html', text:'encounter-activity-example' },</v>
      </c>
    </row>
    <row r="170" spans="1:11" x14ac:dyDescent="0.25">
      <c r="A170" t="s">
        <v>1191</v>
      </c>
      <c r="B170" t="s">
        <v>181</v>
      </c>
      <c r="C170">
        <f t="shared" si="12"/>
        <v>13</v>
      </c>
      <c r="D170">
        <f t="shared" si="13"/>
        <v>52</v>
      </c>
      <c r="E170">
        <f t="shared" si="14"/>
        <v>52</v>
      </c>
      <c r="F170" t="s">
        <v>456</v>
      </c>
      <c r="G170">
        <f t="shared" si="15"/>
        <v>32</v>
      </c>
      <c r="H170" t="s">
        <v>702</v>
      </c>
      <c r="I170" t="str">
        <f t="shared" si="16"/>
        <v>https://hl7.org/cda/us/ccda/Binary-encounter-activity-example.html</v>
      </c>
      <c r="J170" t="s">
        <v>1413</v>
      </c>
      <c r="K170" t="str">
        <f t="shared" si="17"/>
        <v>{ file:'2.16.840.1.113883.10.20.22.4.19.html', href:'https://hl7.org/cda/us/ccda/Binary-encounter-activity-example.html', text:'encounter-activity-example' },</v>
      </c>
    </row>
    <row r="171" spans="1:11" x14ac:dyDescent="0.25">
      <c r="A171" t="s">
        <v>1192</v>
      </c>
      <c r="B171" t="s">
        <v>182</v>
      </c>
      <c r="C171">
        <f t="shared" si="12"/>
        <v>13</v>
      </c>
      <c r="D171">
        <f t="shared" si="13"/>
        <v>52</v>
      </c>
      <c r="E171">
        <f t="shared" si="14"/>
        <v>52</v>
      </c>
      <c r="F171" t="s">
        <v>457</v>
      </c>
      <c r="G171">
        <f t="shared" si="15"/>
        <v>32</v>
      </c>
      <c r="H171" t="s">
        <v>703</v>
      </c>
      <c r="I171" t="str">
        <f t="shared" si="16"/>
        <v>https://hl7.org/cda/us/ccda/Binary-encounter-diagnosis-example.html</v>
      </c>
      <c r="J171" t="s">
        <v>1414</v>
      </c>
      <c r="K171" t="str">
        <f t="shared" si="17"/>
        <v>{ file:'2.16.840.1.113883.10.20.22.4.80.html', href:'https://hl7.org/cda/us/ccda/Binary-encounter-diagnosis-example.html', text:'encounter-diagnosis-example' },</v>
      </c>
    </row>
    <row r="172" spans="1:11" x14ac:dyDescent="0.25">
      <c r="A172" t="s">
        <v>1192</v>
      </c>
      <c r="B172" t="s">
        <v>117</v>
      </c>
      <c r="C172">
        <f t="shared" si="12"/>
        <v>13</v>
      </c>
      <c r="D172">
        <f t="shared" si="13"/>
        <v>51</v>
      </c>
      <c r="E172">
        <f t="shared" si="14"/>
        <v>51</v>
      </c>
      <c r="F172" t="s">
        <v>365</v>
      </c>
      <c r="G172">
        <f t="shared" si="15"/>
        <v>31</v>
      </c>
      <c r="H172" t="s">
        <v>613</v>
      </c>
      <c r="I172" t="str">
        <f t="shared" si="16"/>
        <v>https://hl7.org/cda/us/ccda/Binary-encounter-diagnosis-example.html</v>
      </c>
      <c r="J172" t="s">
        <v>1414</v>
      </c>
      <c r="K172" t="str">
        <f t="shared" si="17"/>
        <v>{ file:'2.16.840.1.113883.10.20.22.4.4.html', href:'https://hl7.org/cda/us/ccda/Binary-encounter-diagnosis-example.html', text:'encounter-diagnosis-example' },</v>
      </c>
    </row>
    <row r="173" spans="1:11" x14ac:dyDescent="0.25">
      <c r="A173" t="s">
        <v>1192</v>
      </c>
      <c r="B173" t="s">
        <v>124</v>
      </c>
      <c r="C173">
        <f t="shared" si="12"/>
        <v>13</v>
      </c>
      <c r="D173" t="e">
        <f t="shared" si="13"/>
        <v>#VALUE!</v>
      </c>
      <c r="E173">
        <f t="shared" si="14"/>
        <v>100</v>
      </c>
      <c r="F173" t="s">
        <v>372</v>
      </c>
      <c r="G173">
        <f t="shared" si="15"/>
        <v>33</v>
      </c>
      <c r="H173" t="s">
        <v>620</v>
      </c>
      <c r="I173" t="str">
        <f t="shared" si="16"/>
        <v>https://hl7.org/cda/us/ccda/Binary-encounter-diagnosis-example.html</v>
      </c>
      <c r="J173" t="s">
        <v>1414</v>
      </c>
      <c r="K173" t="str">
        <f t="shared" si="17"/>
        <v>{ file:'2.16.840.1.113883.10.20.22.4.119.html', href:'https://hl7.org/cda/us/ccda/Binary-encounter-diagnosis-example.html', text:'encounter-diagnosis-example' },</v>
      </c>
    </row>
    <row r="174" spans="1:11" x14ac:dyDescent="0.25">
      <c r="A174" t="s">
        <v>1193</v>
      </c>
      <c r="B174" t="s">
        <v>183</v>
      </c>
      <c r="C174">
        <f t="shared" si="12"/>
        <v>13</v>
      </c>
      <c r="D174">
        <f t="shared" si="13"/>
        <v>54</v>
      </c>
      <c r="E174">
        <f t="shared" si="14"/>
        <v>54</v>
      </c>
      <c r="F174" t="s">
        <v>415</v>
      </c>
      <c r="G174">
        <f t="shared" si="15"/>
        <v>34</v>
      </c>
      <c r="H174" t="s">
        <v>661</v>
      </c>
      <c r="I174" t="str">
        <f t="shared" si="16"/>
        <v>https://hl7.org/cda/us/ccda/Binary-encounters-section-example.html</v>
      </c>
      <c r="J174" t="s">
        <v>1415</v>
      </c>
      <c r="K174" t="str">
        <f t="shared" si="17"/>
        <v>{ file:'2.16.840.1.113883.10.20.22.2.22.1.html', href:'https://hl7.org/cda/us/ccda/Binary-encounters-section-example.html', text:'encounters-section-example' },</v>
      </c>
    </row>
    <row r="175" spans="1:11" x14ac:dyDescent="0.25">
      <c r="A175" t="s">
        <v>1193</v>
      </c>
      <c r="B175" t="s">
        <v>184</v>
      </c>
      <c r="C175">
        <f t="shared" si="12"/>
        <v>16</v>
      </c>
      <c r="D175">
        <f t="shared" si="13"/>
        <v>55</v>
      </c>
      <c r="E175">
        <f t="shared" si="14"/>
        <v>55</v>
      </c>
      <c r="F175" t="s">
        <v>406</v>
      </c>
      <c r="G175">
        <f t="shared" si="15"/>
        <v>32</v>
      </c>
      <c r="H175" t="s">
        <v>652</v>
      </c>
      <c r="I175" t="str">
        <f t="shared" si="16"/>
        <v>https://hl7.org/cda/us/ccda/Binary-encounters-section-example.html</v>
      </c>
      <c r="J175" t="s">
        <v>1415</v>
      </c>
      <c r="K175" t="str">
        <f t="shared" si="17"/>
        <v>{ file:'2.16.840.1.113883.10.20.22.4.49.html', href:'https://hl7.org/cda/us/ccda/Binary-encounters-section-example.html', text:'encounters-section-example' },</v>
      </c>
    </row>
    <row r="176" spans="1:11" x14ac:dyDescent="0.25">
      <c r="A176" t="s">
        <v>1194</v>
      </c>
      <c r="B176" t="s">
        <v>185</v>
      </c>
      <c r="C176">
        <f t="shared" si="12"/>
        <v>13</v>
      </c>
      <c r="D176">
        <f t="shared" si="13"/>
        <v>53</v>
      </c>
      <c r="E176">
        <f t="shared" si="14"/>
        <v>53</v>
      </c>
      <c r="F176" t="s">
        <v>458</v>
      </c>
      <c r="G176">
        <f t="shared" si="15"/>
        <v>33</v>
      </c>
      <c r="H176" t="s">
        <v>704</v>
      </c>
      <c r="I176" t="str">
        <f t="shared" si="16"/>
        <v>https://hl7.org/cda/us/ccda/Binary-entry-reference-example.html</v>
      </c>
      <c r="J176" t="s">
        <v>1416</v>
      </c>
      <c r="K176" t="str">
        <f t="shared" si="17"/>
        <v>{ file:'2.16.840.1.113883.10.20.22.4.132.html', href:'https://hl7.org/cda/us/ccda/Binary-entry-reference-example.html', text:'entry-reference-example' },</v>
      </c>
    </row>
    <row r="177" spans="1:11" x14ac:dyDescent="0.25">
      <c r="A177" t="s">
        <v>1194</v>
      </c>
      <c r="B177" t="s">
        <v>117</v>
      </c>
      <c r="C177">
        <f t="shared" si="12"/>
        <v>13</v>
      </c>
      <c r="D177">
        <f t="shared" si="13"/>
        <v>51</v>
      </c>
      <c r="E177">
        <f t="shared" si="14"/>
        <v>51</v>
      </c>
      <c r="F177" t="s">
        <v>365</v>
      </c>
      <c r="G177">
        <f t="shared" si="15"/>
        <v>31</v>
      </c>
      <c r="H177" t="s">
        <v>613</v>
      </c>
      <c r="I177" t="str">
        <f t="shared" si="16"/>
        <v>https://hl7.org/cda/us/ccda/Binary-entry-reference-example.html</v>
      </c>
      <c r="J177" t="s">
        <v>1416</v>
      </c>
      <c r="K177" t="str">
        <f t="shared" si="17"/>
        <v>{ file:'2.16.840.1.113883.10.20.22.4.4.html', href:'https://hl7.org/cda/us/ccda/Binary-entry-reference-example.html', text:'entry-reference-example' },</v>
      </c>
    </row>
    <row r="178" spans="1:11" x14ac:dyDescent="0.25">
      <c r="A178" t="s">
        <v>1194</v>
      </c>
      <c r="B178" t="s">
        <v>173</v>
      </c>
      <c r="C178">
        <f t="shared" si="12"/>
        <v>13</v>
      </c>
      <c r="D178" t="e">
        <f t="shared" si="13"/>
        <v>#VALUE!</v>
      </c>
      <c r="E178">
        <f t="shared" si="14"/>
        <v>100</v>
      </c>
      <c r="F178" t="s">
        <v>441</v>
      </c>
      <c r="G178">
        <f t="shared" si="15"/>
        <v>33</v>
      </c>
      <c r="H178" t="s">
        <v>687</v>
      </c>
      <c r="I178" t="str">
        <f t="shared" si="16"/>
        <v>https://hl7.org/cda/us/ccda/Binary-entry-reference-example.html</v>
      </c>
      <c r="J178" t="s">
        <v>1416</v>
      </c>
      <c r="K178" t="str">
        <f t="shared" si="17"/>
        <v>{ file:'2.16.840.1.113883.10.20.22.4.122.html', href:'https://hl7.org/cda/us/ccda/Binary-entry-reference-example.html', text:'entry-reference-example' },</v>
      </c>
    </row>
    <row r="179" spans="1:11" x14ac:dyDescent="0.25">
      <c r="A179" t="s">
        <v>1195</v>
      </c>
      <c r="B179" t="s">
        <v>186</v>
      </c>
      <c r="C179">
        <f t="shared" si="12"/>
        <v>13</v>
      </c>
      <c r="D179" t="e">
        <f t="shared" si="13"/>
        <v>#VALUE!</v>
      </c>
      <c r="E179">
        <f t="shared" si="14"/>
        <v>100</v>
      </c>
      <c r="F179" t="s">
        <v>459</v>
      </c>
      <c r="G179">
        <f t="shared" si="15"/>
        <v>31</v>
      </c>
      <c r="H179" t="s">
        <v>705</v>
      </c>
      <c r="I179" t="str">
        <f t="shared" si="16"/>
        <v>https://hl7.org/cda/us/ccda/Binary-estimated-date-of-delivery-example.html</v>
      </c>
      <c r="J179" t="s">
        <v>1417</v>
      </c>
      <c r="K179" t="str">
        <f t="shared" si="17"/>
        <v>{ file:'2.16.840.1.113883.10.20.15.3.1.html', href:'https://hl7.org/cda/us/ccda/Binary-estimated-date-of-delivery-example.html', text:'estimated-date-of-delivery-example' },</v>
      </c>
    </row>
    <row r="180" spans="1:11" x14ac:dyDescent="0.25">
      <c r="A180" t="s">
        <v>1196</v>
      </c>
      <c r="B180" t="s">
        <v>187</v>
      </c>
      <c r="C180">
        <f t="shared" si="12"/>
        <v>13</v>
      </c>
      <c r="D180" t="e">
        <f t="shared" si="13"/>
        <v>#VALUE!</v>
      </c>
      <c r="E180">
        <f t="shared" si="14"/>
        <v>100</v>
      </c>
      <c r="F180" t="s">
        <v>460</v>
      </c>
      <c r="G180">
        <f t="shared" si="15"/>
        <v>33</v>
      </c>
      <c r="H180" t="s">
        <v>706</v>
      </c>
      <c r="I180" t="str">
        <f t="shared" si="16"/>
        <v>https://hl7.org/cda/us/ccda/Binary-external-document-reference-example.html</v>
      </c>
      <c r="J180" t="s">
        <v>1418</v>
      </c>
      <c r="K180" t="str">
        <f t="shared" si="17"/>
        <v>{ file:'2.16.840.1.113883.10.20.22.4.115.html', href:'https://hl7.org/cda/us/ccda/Binary-external-document-reference-example.html', text:'external-document-reference-example' },</v>
      </c>
    </row>
    <row r="181" spans="1:11" x14ac:dyDescent="0.25">
      <c r="A181" t="s">
        <v>1197</v>
      </c>
      <c r="B181" t="s">
        <v>188</v>
      </c>
      <c r="C181">
        <f t="shared" si="12"/>
        <v>13</v>
      </c>
      <c r="D181" t="e">
        <f t="shared" si="13"/>
        <v>#VALUE!</v>
      </c>
      <c r="E181">
        <f t="shared" si="14"/>
        <v>100</v>
      </c>
      <c r="F181" t="s">
        <v>461</v>
      </c>
      <c r="G181">
        <f t="shared" si="15"/>
        <v>32</v>
      </c>
      <c r="H181" t="s">
        <v>707</v>
      </c>
      <c r="I181" t="str">
        <f t="shared" si="16"/>
        <v>https://hl7.org/cda/us/ccda/Binary-family-history-death-observation-example.html</v>
      </c>
      <c r="J181" t="s">
        <v>1419</v>
      </c>
      <c r="K181" t="str">
        <f t="shared" si="17"/>
        <v>{ file:'2.16.840.1.113883.10.20.22.4.47.html', href:'https://hl7.org/cda/us/ccda/Binary-family-history-death-observation-example.html', text:'family-history-death-observation-example' },</v>
      </c>
    </row>
    <row r="182" spans="1:11" x14ac:dyDescent="0.25">
      <c r="A182" t="s">
        <v>1198</v>
      </c>
      <c r="B182" t="s">
        <v>189</v>
      </c>
      <c r="C182">
        <f t="shared" si="12"/>
        <v>13</v>
      </c>
      <c r="D182">
        <f t="shared" si="13"/>
        <v>52</v>
      </c>
      <c r="E182">
        <f t="shared" si="14"/>
        <v>52</v>
      </c>
      <c r="F182" t="s">
        <v>462</v>
      </c>
      <c r="G182">
        <f t="shared" si="15"/>
        <v>32</v>
      </c>
      <c r="H182" t="s">
        <v>708</v>
      </c>
      <c r="I182" t="str">
        <f t="shared" si="16"/>
        <v>https://hl7.org/cda/us/ccda/Binary-family-history-observation-example.html</v>
      </c>
      <c r="J182" t="s">
        <v>1420</v>
      </c>
      <c r="K182" t="str">
        <f t="shared" si="17"/>
        <v>{ file:'2.16.840.1.113883.10.20.22.4.46.html', href:'https://hl7.org/cda/us/ccda/Binary-family-history-observation-example.html', text:'family-history-observation-example' },</v>
      </c>
    </row>
    <row r="183" spans="1:11" x14ac:dyDescent="0.25">
      <c r="A183" t="s">
        <v>1198</v>
      </c>
      <c r="B183" t="s">
        <v>188</v>
      </c>
      <c r="C183">
        <f t="shared" si="12"/>
        <v>13</v>
      </c>
      <c r="D183" t="e">
        <f t="shared" si="13"/>
        <v>#VALUE!</v>
      </c>
      <c r="E183">
        <f t="shared" si="14"/>
        <v>100</v>
      </c>
      <c r="F183" t="s">
        <v>461</v>
      </c>
      <c r="G183">
        <f t="shared" si="15"/>
        <v>32</v>
      </c>
      <c r="H183" t="s">
        <v>707</v>
      </c>
      <c r="I183" t="str">
        <f t="shared" si="16"/>
        <v>https://hl7.org/cda/us/ccda/Binary-family-history-observation-example.html</v>
      </c>
      <c r="J183" t="s">
        <v>1420</v>
      </c>
      <c r="K183" t="str">
        <f t="shared" si="17"/>
        <v>{ file:'2.16.840.1.113883.10.20.22.4.47.html', href:'https://hl7.org/cda/us/ccda/Binary-family-history-observation-example.html', text:'family-history-observation-example' },</v>
      </c>
    </row>
    <row r="184" spans="1:11" x14ac:dyDescent="0.25">
      <c r="A184" t="s">
        <v>1198</v>
      </c>
      <c r="B184" t="s">
        <v>129</v>
      </c>
      <c r="C184">
        <f t="shared" si="12"/>
        <v>13</v>
      </c>
      <c r="D184" t="e">
        <f t="shared" si="13"/>
        <v>#VALUE!</v>
      </c>
      <c r="E184">
        <f t="shared" si="14"/>
        <v>100</v>
      </c>
      <c r="F184" t="s">
        <v>375</v>
      </c>
      <c r="G184">
        <f t="shared" si="15"/>
        <v>32</v>
      </c>
      <c r="H184" t="s">
        <v>623</v>
      </c>
      <c r="I184" t="str">
        <f t="shared" si="16"/>
        <v>https://hl7.org/cda/us/ccda/Binary-family-history-observation-example.html</v>
      </c>
      <c r="J184" t="s">
        <v>1420</v>
      </c>
      <c r="K184" t="str">
        <f t="shared" si="17"/>
        <v>{ file:'2.16.840.1.113883.10.20.22.4.31.html', href:'https://hl7.org/cda/us/ccda/Binary-family-history-observation-example.html', text:'family-history-observation-example' },</v>
      </c>
    </row>
    <row r="185" spans="1:11" x14ac:dyDescent="0.25">
      <c r="A185" t="s">
        <v>1199</v>
      </c>
      <c r="B185" t="s">
        <v>190</v>
      </c>
      <c r="C185">
        <f t="shared" si="12"/>
        <v>13</v>
      </c>
      <c r="D185">
        <f t="shared" si="13"/>
        <v>52</v>
      </c>
      <c r="E185">
        <f t="shared" si="14"/>
        <v>52</v>
      </c>
      <c r="F185" t="s">
        <v>463</v>
      </c>
      <c r="G185">
        <f t="shared" si="15"/>
        <v>32</v>
      </c>
      <c r="H185" t="s">
        <v>709</v>
      </c>
      <c r="I185" t="str">
        <f t="shared" si="16"/>
        <v>https://hl7.org/cda/us/ccda/Binary-family-history-organizer-example.html</v>
      </c>
      <c r="J185" t="s">
        <v>1421</v>
      </c>
      <c r="K185" t="str">
        <f t="shared" si="17"/>
        <v>{ file:'2.16.840.1.113883.10.20.22.4.45.html', href:'https://hl7.org/cda/us/ccda/Binary-family-history-organizer-example.html', text:'family-history-organizer-example' },</v>
      </c>
    </row>
    <row r="186" spans="1:11" x14ac:dyDescent="0.25">
      <c r="A186" t="s">
        <v>1199</v>
      </c>
      <c r="B186" t="s">
        <v>189</v>
      </c>
      <c r="C186">
        <f t="shared" si="12"/>
        <v>13</v>
      </c>
      <c r="D186">
        <f t="shared" si="13"/>
        <v>52</v>
      </c>
      <c r="E186">
        <f t="shared" si="14"/>
        <v>52</v>
      </c>
      <c r="F186" t="s">
        <v>462</v>
      </c>
      <c r="G186">
        <f t="shared" si="15"/>
        <v>32</v>
      </c>
      <c r="H186" t="s">
        <v>708</v>
      </c>
      <c r="I186" t="str">
        <f t="shared" si="16"/>
        <v>https://hl7.org/cda/us/ccda/Binary-family-history-organizer-example.html</v>
      </c>
      <c r="J186" t="s">
        <v>1421</v>
      </c>
      <c r="K186" t="str">
        <f t="shared" si="17"/>
        <v>{ file:'2.16.840.1.113883.10.20.22.4.46.html', href:'https://hl7.org/cda/us/ccda/Binary-family-history-organizer-example.html', text:'family-history-organizer-example' },</v>
      </c>
    </row>
    <row r="187" spans="1:11" x14ac:dyDescent="0.25">
      <c r="A187" t="s">
        <v>1199</v>
      </c>
      <c r="B187" t="s">
        <v>188</v>
      </c>
      <c r="C187">
        <f t="shared" si="12"/>
        <v>13</v>
      </c>
      <c r="D187" t="e">
        <f t="shared" si="13"/>
        <v>#VALUE!</v>
      </c>
      <c r="E187">
        <f t="shared" si="14"/>
        <v>100</v>
      </c>
      <c r="F187" t="s">
        <v>461</v>
      </c>
      <c r="G187">
        <f t="shared" si="15"/>
        <v>32</v>
      </c>
      <c r="H187" t="s">
        <v>707</v>
      </c>
      <c r="I187" t="str">
        <f t="shared" si="16"/>
        <v>https://hl7.org/cda/us/ccda/Binary-family-history-organizer-example.html</v>
      </c>
      <c r="J187" t="s">
        <v>1421</v>
      </c>
      <c r="K187" t="str">
        <f t="shared" si="17"/>
        <v>{ file:'2.16.840.1.113883.10.20.22.4.47.html', href:'https://hl7.org/cda/us/ccda/Binary-family-history-organizer-example.html', text:'family-history-organizer-example' },</v>
      </c>
    </row>
    <row r="188" spans="1:11" x14ac:dyDescent="0.25">
      <c r="A188" t="s">
        <v>1200</v>
      </c>
      <c r="B188" t="s">
        <v>21</v>
      </c>
      <c r="C188">
        <f t="shared" si="12"/>
        <v>13</v>
      </c>
      <c r="D188">
        <f t="shared" si="13"/>
        <v>52</v>
      </c>
      <c r="E188">
        <f t="shared" si="14"/>
        <v>52</v>
      </c>
      <c r="F188" t="s">
        <v>464</v>
      </c>
      <c r="G188">
        <f t="shared" si="15"/>
        <v>32</v>
      </c>
      <c r="H188" t="s">
        <v>710</v>
      </c>
      <c r="I188" t="str">
        <f t="shared" si="16"/>
        <v>https://hl7.org/cda/us/ccda/Binary-family-history-section-example.html</v>
      </c>
      <c r="J188" t="s">
        <v>1422</v>
      </c>
      <c r="K188" t="str">
        <f t="shared" si="17"/>
        <v>{ file:'2.16.840.1.113883.10.20.22.2.15.html', href:'https://hl7.org/cda/us/ccda/Binary-family-history-section-example.html', text:'family-history-section-example' },</v>
      </c>
    </row>
    <row r="189" spans="1:11" x14ac:dyDescent="0.25">
      <c r="A189" t="s">
        <v>1200</v>
      </c>
      <c r="B189" t="s">
        <v>191</v>
      </c>
      <c r="C189">
        <f t="shared" si="12"/>
        <v>13</v>
      </c>
      <c r="D189" t="e">
        <f t="shared" si="13"/>
        <v>#VALUE!</v>
      </c>
      <c r="E189">
        <f t="shared" si="14"/>
        <v>100</v>
      </c>
      <c r="F189" t="s">
        <v>465</v>
      </c>
      <c r="G189">
        <f t="shared" si="15"/>
        <v>32</v>
      </c>
      <c r="H189" t="s">
        <v>709</v>
      </c>
      <c r="I189" t="str">
        <f t="shared" si="16"/>
        <v>https://hl7.org/cda/us/ccda/Binary-family-history-section-example.html</v>
      </c>
      <c r="J189" t="s">
        <v>1422</v>
      </c>
      <c r="K189" t="str">
        <f t="shared" si="17"/>
        <v>{ file:'2.16.840.1.113883.10.20.22.4.45.html', href:'https://hl7.org/cda/us/ccda/Binary-family-history-section-example.html', text:'family-history-section-example' },</v>
      </c>
    </row>
    <row r="190" spans="1:11" x14ac:dyDescent="0.25">
      <c r="A190" t="s">
        <v>1201</v>
      </c>
      <c r="B190" t="s">
        <v>192</v>
      </c>
      <c r="C190">
        <f t="shared" si="12"/>
        <v>13</v>
      </c>
      <c r="D190">
        <f t="shared" si="13"/>
        <v>52</v>
      </c>
      <c r="E190">
        <f t="shared" si="14"/>
        <v>52</v>
      </c>
      <c r="F190" t="s">
        <v>466</v>
      </c>
      <c r="G190">
        <f t="shared" si="15"/>
        <v>32</v>
      </c>
      <c r="H190" t="s">
        <v>711</v>
      </c>
      <c r="I190" t="str">
        <f t="shared" si="16"/>
        <v>https://hl7.org/cda/us/ccda/Binary-functional-status-observation-example.html</v>
      </c>
      <c r="J190" t="s">
        <v>1423</v>
      </c>
      <c r="K190" t="str">
        <f t="shared" si="17"/>
        <v>{ file:'2.16.840.1.113883.10.20.22.4.67.html', href:'https://hl7.org/cda/us/ccda/Binary-functional-status-observation-example.html', text:'functional-status-observation-example' },</v>
      </c>
    </row>
    <row r="191" spans="1:11" x14ac:dyDescent="0.25">
      <c r="A191" t="s">
        <v>1201</v>
      </c>
      <c r="B191" t="s">
        <v>124</v>
      </c>
      <c r="C191">
        <f t="shared" si="12"/>
        <v>13</v>
      </c>
      <c r="D191" t="e">
        <f t="shared" si="13"/>
        <v>#VALUE!</v>
      </c>
      <c r="E191">
        <f t="shared" si="14"/>
        <v>100</v>
      </c>
      <c r="F191" t="s">
        <v>372</v>
      </c>
      <c r="G191">
        <f t="shared" si="15"/>
        <v>33</v>
      </c>
      <c r="H191" t="s">
        <v>620</v>
      </c>
      <c r="I191" t="str">
        <f t="shared" si="16"/>
        <v>https://hl7.org/cda/us/ccda/Binary-functional-status-observation-example.html</v>
      </c>
      <c r="J191" t="s">
        <v>1423</v>
      </c>
      <c r="K191" t="str">
        <f t="shared" si="17"/>
        <v>{ file:'2.16.840.1.113883.10.20.22.4.119.html', href:'https://hl7.org/cda/us/ccda/Binary-functional-status-observation-example.html', text:'functional-status-observation-example' },</v>
      </c>
    </row>
    <row r="192" spans="1:11" x14ac:dyDescent="0.25">
      <c r="A192" t="s">
        <v>1202</v>
      </c>
      <c r="B192" t="s">
        <v>193</v>
      </c>
      <c r="C192">
        <f t="shared" si="12"/>
        <v>13</v>
      </c>
      <c r="D192">
        <f t="shared" si="13"/>
        <v>52</v>
      </c>
      <c r="E192">
        <f t="shared" si="14"/>
        <v>52</v>
      </c>
      <c r="F192" t="s">
        <v>467</v>
      </c>
      <c r="G192">
        <f t="shared" si="15"/>
        <v>32</v>
      </c>
      <c r="H192" t="s">
        <v>712</v>
      </c>
      <c r="I192" t="str">
        <f t="shared" si="16"/>
        <v>https://hl7.org/cda/us/ccda/Binary-functional-status-organizer-example.html</v>
      </c>
      <c r="J192" t="s">
        <v>1424</v>
      </c>
      <c r="K192" t="str">
        <f t="shared" si="17"/>
        <v>{ file:'2.16.840.1.113883.10.20.22.4.66.html', href:'https://hl7.org/cda/us/ccda/Binary-functional-status-organizer-example.html', text:'functional-status-organizer-example' },</v>
      </c>
    </row>
    <row r="193" spans="1:11" x14ac:dyDescent="0.25">
      <c r="A193" t="s">
        <v>1202</v>
      </c>
      <c r="B193" t="s">
        <v>124</v>
      </c>
      <c r="C193">
        <f t="shared" si="12"/>
        <v>13</v>
      </c>
      <c r="D193" t="e">
        <f t="shared" si="13"/>
        <v>#VALUE!</v>
      </c>
      <c r="E193">
        <f t="shared" si="14"/>
        <v>100</v>
      </c>
      <c r="F193" t="s">
        <v>372</v>
      </c>
      <c r="G193">
        <f t="shared" si="15"/>
        <v>33</v>
      </c>
      <c r="H193" t="s">
        <v>620</v>
      </c>
      <c r="I193" t="str">
        <f t="shared" si="16"/>
        <v>https://hl7.org/cda/us/ccda/Binary-functional-status-organizer-example.html</v>
      </c>
      <c r="J193" t="s">
        <v>1424</v>
      </c>
      <c r="K193" t="str">
        <f t="shared" si="17"/>
        <v>{ file:'2.16.840.1.113883.10.20.22.4.119.html', href:'https://hl7.org/cda/us/ccda/Binary-functional-status-organizer-example.html', text:'functional-status-organizer-example' },</v>
      </c>
    </row>
    <row r="194" spans="1:11" x14ac:dyDescent="0.25">
      <c r="A194" t="s">
        <v>1202</v>
      </c>
      <c r="B194" t="s">
        <v>192</v>
      </c>
      <c r="C194">
        <f t="shared" si="12"/>
        <v>13</v>
      </c>
      <c r="D194">
        <f t="shared" si="13"/>
        <v>52</v>
      </c>
      <c r="E194">
        <f t="shared" si="14"/>
        <v>52</v>
      </c>
      <c r="F194" t="s">
        <v>466</v>
      </c>
      <c r="G194">
        <f t="shared" si="15"/>
        <v>32</v>
      </c>
      <c r="H194" t="s">
        <v>711</v>
      </c>
      <c r="I194" t="str">
        <f t="shared" si="16"/>
        <v>https://hl7.org/cda/us/ccda/Binary-functional-status-organizer-example.html</v>
      </c>
      <c r="J194" t="s">
        <v>1424</v>
      </c>
      <c r="K194" t="str">
        <f t="shared" si="17"/>
        <v>{ file:'2.16.840.1.113883.10.20.22.4.67.html', href:'https://hl7.org/cda/us/ccda/Binary-functional-status-organizer-example.html', text:'functional-status-organizer-example' },</v>
      </c>
    </row>
    <row r="195" spans="1:11" x14ac:dyDescent="0.25">
      <c r="A195" t="s">
        <v>1202</v>
      </c>
      <c r="B195" t="s">
        <v>124</v>
      </c>
      <c r="C195">
        <f t="shared" ref="C195:C258" si="18">FIND("root=",B195,1)</f>
        <v>13</v>
      </c>
      <c r="D195" t="e">
        <f t="shared" ref="D195:D258" si="19">FIND("extension",B195,1)</f>
        <v>#VALUE!</v>
      </c>
      <c r="E195">
        <f t="shared" ref="E195:E258" si="20">IF(ISERR(D195),100,D195)</f>
        <v>100</v>
      </c>
      <c r="F195" t="s">
        <v>372</v>
      </c>
      <c r="G195">
        <f t="shared" ref="G195:G258" si="21">FIND("/",F195,1)</f>
        <v>33</v>
      </c>
      <c r="H195" t="s">
        <v>620</v>
      </c>
      <c r="I195" t="str">
        <f t="shared" ref="I195:I258" si="22">"https://hl7.org/cda/us/ccda/Binary-"&amp;A195&amp;".html"</f>
        <v>https://hl7.org/cda/us/ccda/Binary-functional-status-organizer-example.html</v>
      </c>
      <c r="J195" t="s">
        <v>1424</v>
      </c>
      <c r="K195" t="str">
        <f t="shared" ref="K195:K258" si="23">"{ file:'"&amp;H195&amp;".html', href:'"&amp;I195&amp;"', text:'"&amp;A195&amp;"' },"</f>
        <v>{ file:'2.16.840.1.113883.10.20.22.4.119.html', href:'https://hl7.org/cda/us/ccda/Binary-functional-status-organizer-example.html', text:'functional-status-organizer-example' },</v>
      </c>
    </row>
    <row r="196" spans="1:11" x14ac:dyDescent="0.25">
      <c r="A196" t="s">
        <v>1202</v>
      </c>
      <c r="B196" t="s">
        <v>194</v>
      </c>
      <c r="C196">
        <f t="shared" si="18"/>
        <v>13</v>
      </c>
      <c r="D196" t="e">
        <f t="shared" si="19"/>
        <v>#VALUE!</v>
      </c>
      <c r="E196">
        <f t="shared" si="20"/>
        <v>100</v>
      </c>
      <c r="F196" t="s">
        <v>468</v>
      </c>
      <c r="G196">
        <f t="shared" si="21"/>
        <v>33</v>
      </c>
      <c r="H196" t="s">
        <v>713</v>
      </c>
      <c r="I196" t="str">
        <f t="shared" si="22"/>
        <v>https://hl7.org/cda/us/ccda/Binary-functional-status-organizer-example.html</v>
      </c>
      <c r="J196" t="s">
        <v>1424</v>
      </c>
      <c r="K196" t="str">
        <f t="shared" si="23"/>
        <v>{ file:'2.16.840.1.113883.10.20.22.4.128.html', href:'https://hl7.org/cda/us/ccda/Binary-functional-status-organizer-example.html', text:'functional-status-organizer-example' },</v>
      </c>
    </row>
    <row r="197" spans="1:11" x14ac:dyDescent="0.25">
      <c r="A197" t="s">
        <v>1202</v>
      </c>
      <c r="B197" t="s">
        <v>124</v>
      </c>
      <c r="C197">
        <f t="shared" si="18"/>
        <v>13</v>
      </c>
      <c r="D197" t="e">
        <f t="shared" si="19"/>
        <v>#VALUE!</v>
      </c>
      <c r="E197">
        <f t="shared" si="20"/>
        <v>100</v>
      </c>
      <c r="F197" t="s">
        <v>372</v>
      </c>
      <c r="G197">
        <f t="shared" si="21"/>
        <v>33</v>
      </c>
      <c r="H197" t="s">
        <v>620</v>
      </c>
      <c r="I197" t="str">
        <f t="shared" si="22"/>
        <v>https://hl7.org/cda/us/ccda/Binary-functional-status-organizer-example.html</v>
      </c>
      <c r="J197" t="s">
        <v>1424</v>
      </c>
      <c r="K197" t="str">
        <f t="shared" si="23"/>
        <v>{ file:'2.16.840.1.113883.10.20.22.4.119.html', href:'https://hl7.org/cda/us/ccda/Binary-functional-status-organizer-example.html', text:'functional-status-organizer-example' },</v>
      </c>
    </row>
    <row r="198" spans="1:11" x14ac:dyDescent="0.25">
      <c r="A198" t="s">
        <v>1203</v>
      </c>
      <c r="B198" t="s">
        <v>38</v>
      </c>
      <c r="C198">
        <f t="shared" si="18"/>
        <v>13</v>
      </c>
      <c r="D198">
        <f t="shared" si="19"/>
        <v>52</v>
      </c>
      <c r="E198">
        <f t="shared" si="20"/>
        <v>52</v>
      </c>
      <c r="F198" t="s">
        <v>469</v>
      </c>
      <c r="G198">
        <f t="shared" si="21"/>
        <v>32</v>
      </c>
      <c r="H198" t="s">
        <v>714</v>
      </c>
      <c r="I198" t="str">
        <f t="shared" si="22"/>
        <v>https://hl7.org/cda/us/ccda/Binary-functional-status-section-example.html</v>
      </c>
      <c r="J198" t="s">
        <v>1425</v>
      </c>
      <c r="K198" t="str">
        <f t="shared" si="23"/>
        <v>{ file:'2.16.840.1.113883.10.20.22.2.14.html', href:'https://hl7.org/cda/us/ccda/Binary-functional-status-section-example.html', text:'functional-status-section-example' },</v>
      </c>
    </row>
    <row r="199" spans="1:11" x14ac:dyDescent="0.25">
      <c r="A199" t="s">
        <v>1203</v>
      </c>
      <c r="B199" t="s">
        <v>194</v>
      </c>
      <c r="C199">
        <f t="shared" si="18"/>
        <v>13</v>
      </c>
      <c r="D199" t="e">
        <f t="shared" si="19"/>
        <v>#VALUE!</v>
      </c>
      <c r="E199">
        <f t="shared" si="20"/>
        <v>100</v>
      </c>
      <c r="F199" t="s">
        <v>468</v>
      </c>
      <c r="G199">
        <f t="shared" si="21"/>
        <v>33</v>
      </c>
      <c r="H199" t="s">
        <v>713</v>
      </c>
      <c r="I199" t="str">
        <f t="shared" si="22"/>
        <v>https://hl7.org/cda/us/ccda/Binary-functional-status-section-example.html</v>
      </c>
      <c r="J199" t="s">
        <v>1425</v>
      </c>
      <c r="K199" t="str">
        <f t="shared" si="23"/>
        <v>{ file:'2.16.840.1.113883.10.20.22.4.128.html', href:'https://hl7.org/cda/us/ccda/Binary-functional-status-section-example.html', text:'functional-status-section-example' },</v>
      </c>
    </row>
    <row r="200" spans="1:11" x14ac:dyDescent="0.25">
      <c r="A200" t="s">
        <v>1203</v>
      </c>
      <c r="B200" t="s">
        <v>195</v>
      </c>
      <c r="C200">
        <f t="shared" si="18"/>
        <v>13</v>
      </c>
      <c r="D200" t="e">
        <f t="shared" si="19"/>
        <v>#VALUE!</v>
      </c>
      <c r="E200">
        <f t="shared" si="20"/>
        <v>100</v>
      </c>
      <c r="F200" t="s">
        <v>470</v>
      </c>
      <c r="G200">
        <f t="shared" si="21"/>
        <v>33</v>
      </c>
      <c r="H200" t="s">
        <v>715</v>
      </c>
      <c r="I200" t="str">
        <f t="shared" si="22"/>
        <v>https://hl7.org/cda/us/ccda/Binary-functional-status-section-example.html</v>
      </c>
      <c r="J200" t="s">
        <v>1425</v>
      </c>
      <c r="K200" t="str">
        <f t="shared" si="23"/>
        <v>{ file:'2.16.840.1.113883.10.20.22.4.127.html', href:'https://hl7.org/cda/us/ccda/Binary-functional-status-section-example.html', text:'functional-status-section-example' },</v>
      </c>
    </row>
    <row r="201" spans="1:11" x14ac:dyDescent="0.25">
      <c r="A201" t="s">
        <v>1203</v>
      </c>
      <c r="B201" t="s">
        <v>193</v>
      </c>
      <c r="C201">
        <f t="shared" si="18"/>
        <v>13</v>
      </c>
      <c r="D201">
        <f t="shared" si="19"/>
        <v>52</v>
      </c>
      <c r="E201">
        <f t="shared" si="20"/>
        <v>52</v>
      </c>
      <c r="F201" t="s">
        <v>467</v>
      </c>
      <c r="G201">
        <f t="shared" si="21"/>
        <v>32</v>
      </c>
      <c r="H201" t="s">
        <v>712</v>
      </c>
      <c r="I201" t="str">
        <f t="shared" si="22"/>
        <v>https://hl7.org/cda/us/ccda/Binary-functional-status-section-example.html</v>
      </c>
      <c r="J201" t="s">
        <v>1425</v>
      </c>
      <c r="K201" t="str">
        <f t="shared" si="23"/>
        <v>{ file:'2.16.840.1.113883.10.20.22.4.66.html', href:'https://hl7.org/cda/us/ccda/Binary-functional-status-section-example.html', text:'functional-status-section-example' },</v>
      </c>
    </row>
    <row r="202" spans="1:11" x14ac:dyDescent="0.25">
      <c r="A202" t="s">
        <v>1203</v>
      </c>
      <c r="B202" t="s">
        <v>192</v>
      </c>
      <c r="C202">
        <f t="shared" si="18"/>
        <v>13</v>
      </c>
      <c r="D202">
        <f t="shared" si="19"/>
        <v>52</v>
      </c>
      <c r="E202">
        <f t="shared" si="20"/>
        <v>52</v>
      </c>
      <c r="F202" t="s">
        <v>466</v>
      </c>
      <c r="G202">
        <f t="shared" si="21"/>
        <v>32</v>
      </c>
      <c r="H202" t="s">
        <v>711</v>
      </c>
      <c r="I202" t="str">
        <f t="shared" si="22"/>
        <v>https://hl7.org/cda/us/ccda/Binary-functional-status-section-example.html</v>
      </c>
      <c r="J202" t="s">
        <v>1425</v>
      </c>
      <c r="K202" t="str">
        <f t="shared" si="23"/>
        <v>{ file:'2.16.840.1.113883.10.20.22.4.67.html', href:'https://hl7.org/cda/us/ccda/Binary-functional-status-section-example.html', text:'functional-status-section-example' },</v>
      </c>
    </row>
    <row r="203" spans="1:11" x14ac:dyDescent="0.25">
      <c r="A203" t="s">
        <v>1203</v>
      </c>
      <c r="B203" t="s">
        <v>196</v>
      </c>
      <c r="C203">
        <f t="shared" si="18"/>
        <v>13</v>
      </c>
      <c r="D203" t="e">
        <f t="shared" si="19"/>
        <v>#VALUE!</v>
      </c>
      <c r="E203">
        <f t="shared" si="20"/>
        <v>100</v>
      </c>
      <c r="F203" t="s">
        <v>471</v>
      </c>
      <c r="G203">
        <f t="shared" si="21"/>
        <v>32</v>
      </c>
      <c r="H203" t="s">
        <v>657</v>
      </c>
      <c r="I203" t="str">
        <f t="shared" si="22"/>
        <v>https://hl7.org/cda/us/ccda/Binary-functional-status-section-example.html</v>
      </c>
      <c r="J203" t="s">
        <v>1425</v>
      </c>
      <c r="K203" t="str">
        <f t="shared" si="23"/>
        <v>{ file:'2.16.840.1.113883.10.20.22.4.72.html', href:'https://hl7.org/cda/us/ccda/Binary-functional-status-section-example.html', text:'functional-status-section-example' },</v>
      </c>
    </row>
    <row r="204" spans="1:11" x14ac:dyDescent="0.25">
      <c r="A204" t="s">
        <v>1204</v>
      </c>
      <c r="B204" t="s">
        <v>197</v>
      </c>
      <c r="C204">
        <f t="shared" si="18"/>
        <v>13</v>
      </c>
      <c r="D204">
        <f t="shared" si="19"/>
        <v>52</v>
      </c>
      <c r="E204">
        <f t="shared" si="20"/>
        <v>52</v>
      </c>
      <c r="F204" t="s">
        <v>472</v>
      </c>
      <c r="G204">
        <f t="shared" si="21"/>
        <v>32</v>
      </c>
      <c r="H204" t="s">
        <v>716</v>
      </c>
      <c r="I204" t="str">
        <f t="shared" si="22"/>
        <v>https://hl7.org/cda/us/ccda/Binary-gender-identity-observation-example.html</v>
      </c>
      <c r="J204" t="s">
        <v>1426</v>
      </c>
      <c r="K204" t="str">
        <f t="shared" si="23"/>
        <v>{ file:'2.16.840.1.113883.10.20.34.3.45.html', href:'https://hl7.org/cda/us/ccda/Binary-gender-identity-observation-example.html', text:'gender-identity-observation-example' },</v>
      </c>
    </row>
    <row r="205" spans="1:11" x14ac:dyDescent="0.25">
      <c r="A205" t="s">
        <v>1205</v>
      </c>
      <c r="B205" t="s">
        <v>197</v>
      </c>
      <c r="C205">
        <f t="shared" si="18"/>
        <v>13</v>
      </c>
      <c r="D205">
        <f t="shared" si="19"/>
        <v>52</v>
      </c>
      <c r="E205">
        <f t="shared" si="20"/>
        <v>52</v>
      </c>
      <c r="F205" t="s">
        <v>472</v>
      </c>
      <c r="G205">
        <f t="shared" si="21"/>
        <v>32</v>
      </c>
      <c r="H205" t="s">
        <v>716</v>
      </c>
      <c r="I205" t="str">
        <f t="shared" si="22"/>
        <v>https://hl7.org/cda/us/ccda/Binary-gender-identity-observation-nullflavor-example.html</v>
      </c>
      <c r="J205" t="s">
        <v>1427</v>
      </c>
      <c r="K205" t="str">
        <f t="shared" si="23"/>
        <v>{ file:'2.16.840.1.113883.10.20.34.3.45.html', href:'https://hl7.org/cda/us/ccda/Binary-gender-identity-observation-nullflavor-example.html', text:'gender-identity-observation-nullflavor-example' },</v>
      </c>
    </row>
    <row r="206" spans="1:11" x14ac:dyDescent="0.25">
      <c r="A206" t="s">
        <v>1206</v>
      </c>
      <c r="B206" t="s">
        <v>23</v>
      </c>
      <c r="C206">
        <f t="shared" si="18"/>
        <v>13</v>
      </c>
      <c r="D206" t="e">
        <f t="shared" si="19"/>
        <v>#VALUE!</v>
      </c>
      <c r="E206">
        <f t="shared" si="20"/>
        <v>100</v>
      </c>
      <c r="F206" t="s">
        <v>473</v>
      </c>
      <c r="G206">
        <f t="shared" si="21"/>
        <v>28</v>
      </c>
      <c r="H206" t="s">
        <v>717</v>
      </c>
      <c r="I206" t="str">
        <f t="shared" si="22"/>
        <v>https://hl7.org/cda/us/ccda/Binary-general-status-section-example.html</v>
      </c>
      <c r="J206" t="s">
        <v>1428</v>
      </c>
      <c r="K206" t="str">
        <f t="shared" si="23"/>
        <v>{ file:'2.16.840.1.113883.10.20.2.5.html', href:'https://hl7.org/cda/us/ccda/Binary-general-status-section-example.html', text:'general-status-section-example' },</v>
      </c>
    </row>
    <row r="207" spans="1:11" x14ac:dyDescent="0.25">
      <c r="A207" t="s">
        <v>1207</v>
      </c>
      <c r="B207" t="s">
        <v>32</v>
      </c>
      <c r="C207">
        <f t="shared" si="18"/>
        <v>13</v>
      </c>
      <c r="D207">
        <f t="shared" si="19"/>
        <v>53</v>
      </c>
      <c r="E207">
        <f t="shared" si="20"/>
        <v>53</v>
      </c>
      <c r="F207" t="s">
        <v>474</v>
      </c>
      <c r="G207">
        <f t="shared" si="21"/>
        <v>33</v>
      </c>
      <c r="H207" t="s">
        <v>718</v>
      </c>
      <c r="I207" t="str">
        <f t="shared" si="22"/>
        <v>https://hl7.org/cda/us/ccda/Binary-goal-observation-example.html</v>
      </c>
      <c r="J207" t="s">
        <v>1429</v>
      </c>
      <c r="K207" t="str">
        <f t="shared" si="23"/>
        <v>{ file:'2.16.840.1.113883.10.20.22.4.121.html', href:'https://hl7.org/cda/us/ccda/Binary-goal-observation-example.html', text:'goal-observation-example' },</v>
      </c>
    </row>
    <row r="208" spans="1:11" x14ac:dyDescent="0.25">
      <c r="A208" t="s">
        <v>1207</v>
      </c>
      <c r="B208" t="s">
        <v>124</v>
      </c>
      <c r="C208">
        <f t="shared" si="18"/>
        <v>13</v>
      </c>
      <c r="D208" t="e">
        <f t="shared" si="19"/>
        <v>#VALUE!</v>
      </c>
      <c r="E208">
        <f t="shared" si="20"/>
        <v>100</v>
      </c>
      <c r="F208" t="s">
        <v>372</v>
      </c>
      <c r="G208">
        <f t="shared" si="21"/>
        <v>33</v>
      </c>
      <c r="H208" t="s">
        <v>620</v>
      </c>
      <c r="I208" t="str">
        <f t="shared" si="22"/>
        <v>https://hl7.org/cda/us/ccda/Binary-goal-observation-example.html</v>
      </c>
      <c r="J208" t="s">
        <v>1429</v>
      </c>
      <c r="K208" t="str">
        <f t="shared" si="23"/>
        <v>{ file:'2.16.840.1.113883.10.20.22.4.119.html', href:'https://hl7.org/cda/us/ccda/Binary-goal-observation-example.html', text:'goal-observation-example' },</v>
      </c>
    </row>
    <row r="209" spans="1:11" x14ac:dyDescent="0.25">
      <c r="A209" t="s">
        <v>1207</v>
      </c>
      <c r="B209" t="s">
        <v>124</v>
      </c>
      <c r="C209">
        <f t="shared" si="18"/>
        <v>13</v>
      </c>
      <c r="D209" t="e">
        <f t="shared" si="19"/>
        <v>#VALUE!</v>
      </c>
      <c r="E209">
        <f t="shared" si="20"/>
        <v>100</v>
      </c>
      <c r="F209" t="s">
        <v>372</v>
      </c>
      <c r="G209">
        <f t="shared" si="21"/>
        <v>33</v>
      </c>
      <c r="H209" t="s">
        <v>620</v>
      </c>
      <c r="I209" t="str">
        <f t="shared" si="22"/>
        <v>https://hl7.org/cda/us/ccda/Binary-goal-observation-example.html</v>
      </c>
      <c r="J209" t="s">
        <v>1429</v>
      </c>
      <c r="K209" t="str">
        <f t="shared" si="23"/>
        <v>{ file:'2.16.840.1.113883.10.20.22.4.119.html', href:'https://hl7.org/cda/us/ccda/Binary-goal-observation-example.html', text:'goal-observation-example' },</v>
      </c>
    </row>
    <row r="210" spans="1:11" x14ac:dyDescent="0.25">
      <c r="A210" t="s">
        <v>1207</v>
      </c>
      <c r="B210" t="s">
        <v>173</v>
      </c>
      <c r="C210">
        <f t="shared" si="18"/>
        <v>13</v>
      </c>
      <c r="D210" t="e">
        <f t="shared" si="19"/>
        <v>#VALUE!</v>
      </c>
      <c r="E210">
        <f t="shared" si="20"/>
        <v>100</v>
      </c>
      <c r="F210" t="s">
        <v>441</v>
      </c>
      <c r="G210">
        <f t="shared" si="21"/>
        <v>33</v>
      </c>
      <c r="H210" t="s">
        <v>687</v>
      </c>
      <c r="I210" t="str">
        <f t="shared" si="22"/>
        <v>https://hl7.org/cda/us/ccda/Binary-goal-observation-example.html</v>
      </c>
      <c r="J210" t="s">
        <v>1429</v>
      </c>
      <c r="K210" t="str">
        <f t="shared" si="23"/>
        <v>{ file:'2.16.840.1.113883.10.20.22.4.122.html', href:'https://hl7.org/cda/us/ccda/Binary-goal-observation-example.html', text:'goal-observation-example' },</v>
      </c>
    </row>
    <row r="211" spans="1:11" x14ac:dyDescent="0.25">
      <c r="A211" t="s">
        <v>1207</v>
      </c>
      <c r="B211" t="s">
        <v>198</v>
      </c>
      <c r="C211">
        <f t="shared" si="18"/>
        <v>13</v>
      </c>
      <c r="D211" t="e">
        <f t="shared" si="19"/>
        <v>#VALUE!</v>
      </c>
      <c r="E211">
        <f t="shared" si="20"/>
        <v>100</v>
      </c>
      <c r="F211" t="s">
        <v>475</v>
      </c>
      <c r="G211">
        <f t="shared" si="21"/>
        <v>33</v>
      </c>
      <c r="H211" t="s">
        <v>719</v>
      </c>
      <c r="I211" t="str">
        <f t="shared" si="22"/>
        <v>https://hl7.org/cda/us/ccda/Binary-goal-observation-example.html</v>
      </c>
      <c r="J211" t="s">
        <v>1429</v>
      </c>
      <c r="K211" t="str">
        <f t="shared" si="23"/>
        <v>{ file:'2.16.840.1.113883.10.20.22.4.143.html', href:'https://hl7.org/cda/us/ccda/Binary-goal-observation-example.html', text:'goal-observation-example' },</v>
      </c>
    </row>
    <row r="212" spans="1:11" x14ac:dyDescent="0.25">
      <c r="A212" t="s">
        <v>1208</v>
      </c>
      <c r="B212" t="s">
        <v>199</v>
      </c>
      <c r="C212">
        <f t="shared" si="18"/>
        <v>13</v>
      </c>
      <c r="D212" t="e">
        <f t="shared" si="19"/>
        <v>#VALUE!</v>
      </c>
      <c r="E212">
        <f t="shared" si="20"/>
        <v>100</v>
      </c>
      <c r="F212" t="s">
        <v>476</v>
      </c>
      <c r="G212">
        <f t="shared" si="21"/>
        <v>32</v>
      </c>
      <c r="H212" t="s">
        <v>649</v>
      </c>
      <c r="I212" t="str">
        <f t="shared" si="22"/>
        <v>https://hl7.org/cda/us/ccda/Binary-goals-section-example.html</v>
      </c>
      <c r="J212" t="s">
        <v>1430</v>
      </c>
      <c r="K212" t="str">
        <f t="shared" si="23"/>
        <v>{ file:'2.16.840.1.113883.10.20.22.2.60.html', href:'https://hl7.org/cda/us/ccda/Binary-goals-section-example.html', text:'goals-section-example' },</v>
      </c>
    </row>
    <row r="213" spans="1:11" x14ac:dyDescent="0.25">
      <c r="A213" t="s">
        <v>1208</v>
      </c>
      <c r="B213" t="s">
        <v>200</v>
      </c>
      <c r="C213">
        <f t="shared" si="18"/>
        <v>16</v>
      </c>
      <c r="D213">
        <f t="shared" si="19"/>
        <v>56</v>
      </c>
      <c r="E213">
        <f t="shared" si="20"/>
        <v>56</v>
      </c>
      <c r="F213" t="s">
        <v>474</v>
      </c>
      <c r="G213">
        <f t="shared" si="21"/>
        <v>33</v>
      </c>
      <c r="H213" t="s">
        <v>718</v>
      </c>
      <c r="I213" t="str">
        <f t="shared" si="22"/>
        <v>https://hl7.org/cda/us/ccda/Binary-goals-section-example.html</v>
      </c>
      <c r="J213" t="s">
        <v>1430</v>
      </c>
      <c r="K213" t="str">
        <f t="shared" si="23"/>
        <v>{ file:'2.16.840.1.113883.10.20.22.4.121.html', href:'https://hl7.org/cda/us/ccda/Binary-goals-section-example.html', text:'goals-section-example' },</v>
      </c>
    </row>
    <row r="214" spans="1:11" x14ac:dyDescent="0.25">
      <c r="A214" t="s">
        <v>1208</v>
      </c>
      <c r="B214" t="s">
        <v>132</v>
      </c>
      <c r="C214">
        <f t="shared" si="18"/>
        <v>16</v>
      </c>
      <c r="D214" t="e">
        <f t="shared" si="19"/>
        <v>#VALUE!</v>
      </c>
      <c r="E214">
        <f t="shared" si="20"/>
        <v>100</v>
      </c>
      <c r="F214" t="s">
        <v>372</v>
      </c>
      <c r="G214">
        <f t="shared" si="21"/>
        <v>33</v>
      </c>
      <c r="H214" t="s">
        <v>620</v>
      </c>
      <c r="I214" t="str">
        <f t="shared" si="22"/>
        <v>https://hl7.org/cda/us/ccda/Binary-goals-section-example.html</v>
      </c>
      <c r="J214" t="s">
        <v>1430</v>
      </c>
      <c r="K214" t="str">
        <f t="shared" si="23"/>
        <v>{ file:'2.16.840.1.113883.10.20.22.4.119.html', href:'https://hl7.org/cda/us/ccda/Binary-goals-section-example.html', text:'goals-section-example' },</v>
      </c>
    </row>
    <row r="215" spans="1:11" x14ac:dyDescent="0.25">
      <c r="A215" t="s">
        <v>1208</v>
      </c>
      <c r="B215" t="s">
        <v>132</v>
      </c>
      <c r="C215">
        <f t="shared" si="18"/>
        <v>16</v>
      </c>
      <c r="D215" t="e">
        <f t="shared" si="19"/>
        <v>#VALUE!</v>
      </c>
      <c r="E215">
        <f t="shared" si="20"/>
        <v>100</v>
      </c>
      <c r="F215" t="s">
        <v>372</v>
      </c>
      <c r="G215">
        <f t="shared" si="21"/>
        <v>33</v>
      </c>
      <c r="H215" t="s">
        <v>620</v>
      </c>
      <c r="I215" t="str">
        <f t="shared" si="22"/>
        <v>https://hl7.org/cda/us/ccda/Binary-goals-section-example.html</v>
      </c>
      <c r="J215" t="s">
        <v>1430</v>
      </c>
      <c r="K215" t="str">
        <f t="shared" si="23"/>
        <v>{ file:'2.16.840.1.113883.10.20.22.4.119.html', href:'https://hl7.org/cda/us/ccda/Binary-goals-section-example.html', text:'goals-section-example' },</v>
      </c>
    </row>
    <row r="216" spans="1:11" x14ac:dyDescent="0.25">
      <c r="A216" t="s">
        <v>1208</v>
      </c>
      <c r="B216" t="s">
        <v>201</v>
      </c>
      <c r="C216">
        <f t="shared" si="18"/>
        <v>16</v>
      </c>
      <c r="D216" t="e">
        <f t="shared" si="19"/>
        <v>#VALUE!</v>
      </c>
      <c r="E216">
        <f t="shared" si="20"/>
        <v>100</v>
      </c>
      <c r="F216" t="s">
        <v>441</v>
      </c>
      <c r="G216">
        <f t="shared" si="21"/>
        <v>33</v>
      </c>
      <c r="H216" t="s">
        <v>687</v>
      </c>
      <c r="I216" t="str">
        <f t="shared" si="22"/>
        <v>https://hl7.org/cda/us/ccda/Binary-goals-section-example.html</v>
      </c>
      <c r="J216" t="s">
        <v>1430</v>
      </c>
      <c r="K216" t="str">
        <f t="shared" si="23"/>
        <v>{ file:'2.16.840.1.113883.10.20.22.4.122.html', href:'https://hl7.org/cda/us/ccda/Binary-goals-section-example.html', text:'goals-section-example' },</v>
      </c>
    </row>
    <row r="217" spans="1:11" x14ac:dyDescent="0.25">
      <c r="A217" t="s">
        <v>1209</v>
      </c>
      <c r="B217" t="s">
        <v>202</v>
      </c>
      <c r="C217">
        <f t="shared" si="18"/>
        <v>13</v>
      </c>
      <c r="D217" t="e">
        <f t="shared" si="19"/>
        <v>#VALUE!</v>
      </c>
      <c r="E217">
        <f t="shared" si="20"/>
        <v>100</v>
      </c>
      <c r="F217" t="s">
        <v>477</v>
      </c>
      <c r="G217">
        <f t="shared" si="21"/>
        <v>33</v>
      </c>
      <c r="H217" t="s">
        <v>720</v>
      </c>
      <c r="I217" t="str">
        <f t="shared" si="22"/>
        <v>https://hl7.org/cda/us/ccda/Binary-handoff-communication-example.html</v>
      </c>
      <c r="J217" t="s">
        <v>1431</v>
      </c>
      <c r="K217" t="str">
        <f t="shared" si="23"/>
        <v>{ file:'2.16.840.1.113883.10.20.22.4.141.html', href:'https://hl7.org/cda/us/ccda/Binary-handoff-communication-example.html', text:'handoff-communication-example' },</v>
      </c>
    </row>
    <row r="218" spans="1:11" x14ac:dyDescent="0.25">
      <c r="A218" t="s">
        <v>1209</v>
      </c>
      <c r="B218" t="s">
        <v>124</v>
      </c>
      <c r="C218">
        <f t="shared" si="18"/>
        <v>13</v>
      </c>
      <c r="D218" t="e">
        <f t="shared" si="19"/>
        <v>#VALUE!</v>
      </c>
      <c r="E218">
        <f t="shared" si="20"/>
        <v>100</v>
      </c>
      <c r="F218" t="s">
        <v>372</v>
      </c>
      <c r="G218">
        <f t="shared" si="21"/>
        <v>33</v>
      </c>
      <c r="H218" t="s">
        <v>620</v>
      </c>
      <c r="I218" t="str">
        <f t="shared" si="22"/>
        <v>https://hl7.org/cda/us/ccda/Binary-handoff-communication-example.html</v>
      </c>
      <c r="J218" t="s">
        <v>1431</v>
      </c>
      <c r="K218" t="str">
        <f t="shared" si="23"/>
        <v>{ file:'2.16.840.1.113883.10.20.22.4.119.html', href:'https://hl7.org/cda/us/ccda/Binary-handoff-communication-example.html', text:'handoff-communication-example' },</v>
      </c>
    </row>
    <row r="219" spans="1:11" x14ac:dyDescent="0.25">
      <c r="A219" t="s">
        <v>1210</v>
      </c>
      <c r="B219" t="s">
        <v>203</v>
      </c>
      <c r="C219">
        <f t="shared" si="18"/>
        <v>13</v>
      </c>
      <c r="D219">
        <f t="shared" si="19"/>
        <v>53</v>
      </c>
      <c r="E219">
        <f t="shared" si="20"/>
        <v>53</v>
      </c>
      <c r="F219" t="s">
        <v>458</v>
      </c>
      <c r="G219">
        <f t="shared" si="21"/>
        <v>33</v>
      </c>
      <c r="H219" t="s">
        <v>704</v>
      </c>
      <c r="I219" t="str">
        <f t="shared" si="22"/>
        <v>https://hl7.org/cda/us/ccda/Binary-health-concern-act-example.html</v>
      </c>
      <c r="J219" t="s">
        <v>1432</v>
      </c>
      <c r="K219" t="str">
        <f t="shared" si="23"/>
        <v>{ file:'2.16.840.1.113883.10.20.22.4.132.html', href:'https://hl7.org/cda/us/ccda/Binary-health-concern-act-example.html', text:'health-concern-act-example' },</v>
      </c>
    </row>
    <row r="220" spans="1:11" x14ac:dyDescent="0.25">
      <c r="A220" t="s">
        <v>1210</v>
      </c>
      <c r="B220" t="s">
        <v>204</v>
      </c>
      <c r="C220">
        <f t="shared" si="18"/>
        <v>16</v>
      </c>
      <c r="D220">
        <f t="shared" si="19"/>
        <v>55</v>
      </c>
      <c r="E220">
        <f t="shared" si="20"/>
        <v>55</v>
      </c>
      <c r="F220" t="s">
        <v>478</v>
      </c>
      <c r="G220">
        <f t="shared" si="21"/>
        <v>32</v>
      </c>
      <c r="H220" t="s">
        <v>721</v>
      </c>
      <c r="I220" t="str">
        <f t="shared" si="22"/>
        <v>https://hl7.org/cda/us/ccda/Binary-health-concern-act-example.html</v>
      </c>
      <c r="J220" t="s">
        <v>1432</v>
      </c>
      <c r="K220" t="str">
        <f t="shared" si="23"/>
        <v>{ file:'2.16.840.1.113883.10.20.22.4.85.html', href:'https://hl7.org/cda/us/ccda/Binary-health-concern-act-example.html', text:'health-concern-act-example' },</v>
      </c>
    </row>
    <row r="221" spans="1:11" x14ac:dyDescent="0.25">
      <c r="A221" t="s">
        <v>1211</v>
      </c>
      <c r="B221" t="s">
        <v>4</v>
      </c>
      <c r="C221">
        <f t="shared" si="18"/>
        <v>13</v>
      </c>
      <c r="D221">
        <f t="shared" si="19"/>
        <v>52</v>
      </c>
      <c r="E221">
        <f t="shared" si="20"/>
        <v>52</v>
      </c>
      <c r="F221" t="s">
        <v>402</v>
      </c>
      <c r="G221">
        <f t="shared" si="21"/>
        <v>32</v>
      </c>
      <c r="H221" t="s">
        <v>648</v>
      </c>
      <c r="I221" t="str">
        <f t="shared" si="22"/>
        <v>https://hl7.org/cda/us/ccda/Binary-health-concerns-section-example.html</v>
      </c>
      <c r="J221" t="s">
        <v>1433</v>
      </c>
      <c r="K221" t="str">
        <f t="shared" si="23"/>
        <v>{ file:'2.16.840.1.113883.10.20.22.2.58.html', href:'https://hl7.org/cda/us/ccda/Binary-health-concerns-section-example.html', text:'health-concerns-section-example' },</v>
      </c>
    </row>
    <row r="222" spans="1:11" x14ac:dyDescent="0.25">
      <c r="A222" t="s">
        <v>1211</v>
      </c>
      <c r="B222" t="s">
        <v>205</v>
      </c>
      <c r="C222">
        <f t="shared" si="18"/>
        <v>16</v>
      </c>
      <c r="D222">
        <f t="shared" si="19"/>
        <v>54</v>
      </c>
      <c r="E222">
        <f t="shared" si="20"/>
        <v>54</v>
      </c>
      <c r="F222" t="s">
        <v>479</v>
      </c>
      <c r="G222">
        <f t="shared" si="21"/>
        <v>31</v>
      </c>
      <c r="H222" t="s">
        <v>722</v>
      </c>
      <c r="I222" t="str">
        <f t="shared" si="22"/>
        <v>https://hl7.org/cda/us/ccda/Binary-health-concerns-section-example.html</v>
      </c>
      <c r="J222" t="s">
        <v>1433</v>
      </c>
      <c r="K222" t="str">
        <f t="shared" si="23"/>
        <v>{ file:'2.16.840.1.113883.10.20.22.4.5.html', href:'https://hl7.org/cda/us/ccda/Binary-health-concerns-section-example.html', text:'health-concerns-section-example' },</v>
      </c>
    </row>
    <row r="223" spans="1:11" x14ac:dyDescent="0.25">
      <c r="A223" t="s">
        <v>1211</v>
      </c>
      <c r="B223" t="s">
        <v>206</v>
      </c>
      <c r="C223">
        <f t="shared" si="18"/>
        <v>16</v>
      </c>
      <c r="D223">
        <f t="shared" si="19"/>
        <v>56</v>
      </c>
      <c r="E223">
        <f t="shared" si="20"/>
        <v>56</v>
      </c>
      <c r="F223" t="s">
        <v>458</v>
      </c>
      <c r="G223">
        <f t="shared" si="21"/>
        <v>33</v>
      </c>
      <c r="H223" t="s">
        <v>704</v>
      </c>
      <c r="I223" t="str">
        <f t="shared" si="22"/>
        <v>https://hl7.org/cda/us/ccda/Binary-health-concerns-section-example.html</v>
      </c>
      <c r="J223" t="s">
        <v>1433</v>
      </c>
      <c r="K223" t="str">
        <f t="shared" si="23"/>
        <v>{ file:'2.16.840.1.113883.10.20.22.4.132.html', href:'https://hl7.org/cda/us/ccda/Binary-health-concerns-section-example.html', text:'health-concerns-section-example' },</v>
      </c>
    </row>
    <row r="224" spans="1:11" x14ac:dyDescent="0.25">
      <c r="A224" t="s">
        <v>1211</v>
      </c>
      <c r="B224" t="s">
        <v>207</v>
      </c>
      <c r="C224">
        <f t="shared" si="18"/>
        <v>18</v>
      </c>
      <c r="D224">
        <f t="shared" si="19"/>
        <v>57</v>
      </c>
      <c r="E224">
        <f t="shared" si="20"/>
        <v>57</v>
      </c>
      <c r="F224" t="s">
        <v>478</v>
      </c>
      <c r="G224">
        <f t="shared" si="21"/>
        <v>32</v>
      </c>
      <c r="H224" t="s">
        <v>721</v>
      </c>
      <c r="I224" t="str">
        <f t="shared" si="22"/>
        <v>https://hl7.org/cda/us/ccda/Binary-health-concerns-section-example.html</v>
      </c>
      <c r="J224" t="s">
        <v>1433</v>
      </c>
      <c r="K224" t="str">
        <f t="shared" si="23"/>
        <v>{ file:'2.16.840.1.113883.10.20.22.4.85.html', href:'https://hl7.org/cda/us/ccda/Binary-health-concerns-section-example.html', text:'health-concerns-section-example' },</v>
      </c>
    </row>
    <row r="225" spans="1:11" x14ac:dyDescent="0.25">
      <c r="A225" t="s">
        <v>1212</v>
      </c>
      <c r="B225" t="s">
        <v>208</v>
      </c>
      <c r="C225">
        <f t="shared" si="18"/>
        <v>13</v>
      </c>
      <c r="D225">
        <f t="shared" si="19"/>
        <v>51</v>
      </c>
      <c r="E225">
        <f t="shared" si="20"/>
        <v>51</v>
      </c>
      <c r="F225" t="s">
        <v>479</v>
      </c>
      <c r="G225">
        <f t="shared" si="21"/>
        <v>31</v>
      </c>
      <c r="H225" t="s">
        <v>722</v>
      </c>
      <c r="I225" t="str">
        <f t="shared" si="22"/>
        <v>https://hl7.org/cda/us/ccda/Binary-health-status-observation-example.html</v>
      </c>
      <c r="J225" t="s">
        <v>1434</v>
      </c>
      <c r="K225" t="str">
        <f t="shared" si="23"/>
        <v>{ file:'2.16.840.1.113883.10.20.22.4.5.html', href:'https://hl7.org/cda/us/ccda/Binary-health-status-observation-example.html', text:'health-status-observation-example' },</v>
      </c>
    </row>
    <row r="226" spans="1:11" x14ac:dyDescent="0.25">
      <c r="A226" t="s">
        <v>1213</v>
      </c>
      <c r="B226" t="s">
        <v>209</v>
      </c>
      <c r="C226">
        <f t="shared" si="18"/>
        <v>13</v>
      </c>
      <c r="D226" t="e">
        <f t="shared" si="19"/>
        <v>#VALUE!</v>
      </c>
      <c r="E226">
        <f t="shared" si="20"/>
        <v>100</v>
      </c>
      <c r="F226" t="s">
        <v>480</v>
      </c>
      <c r="G226">
        <f t="shared" si="21"/>
        <v>32</v>
      </c>
      <c r="H226" t="s">
        <v>723</v>
      </c>
      <c r="I226" t="str">
        <f t="shared" si="22"/>
        <v>https://hl7.org/cda/us/ccda/Binary-highest-pressure-ulcer-stage-example.html</v>
      </c>
      <c r="J226" t="s">
        <v>1435</v>
      </c>
      <c r="K226" t="str">
        <f t="shared" si="23"/>
        <v>{ file:'2.16.840.1.113883.10.20.22.4.77.html', href:'https://hl7.org/cda/us/ccda/Binary-highest-pressure-ulcer-stage-example.html', text:'highest-pressure-ulcer-stage-example' },</v>
      </c>
    </row>
    <row r="227" spans="1:11" x14ac:dyDescent="0.25">
      <c r="A227" t="s">
        <v>1214</v>
      </c>
      <c r="B227" t="s">
        <v>60</v>
      </c>
      <c r="C227">
        <f t="shared" si="18"/>
        <v>14</v>
      </c>
      <c r="D227">
        <f t="shared" si="19"/>
        <v>52</v>
      </c>
      <c r="E227">
        <f t="shared" si="20"/>
        <v>52</v>
      </c>
      <c r="F227" t="s">
        <v>400</v>
      </c>
      <c r="G227">
        <f t="shared" si="21"/>
        <v>31</v>
      </c>
      <c r="H227" t="s">
        <v>646</v>
      </c>
      <c r="I227" t="str">
        <f t="shared" si="22"/>
        <v>https://hl7.org/cda/us/ccda/Binary-history-and-physical-header-example.html</v>
      </c>
      <c r="J227" t="s">
        <v>1436</v>
      </c>
      <c r="K227" t="str">
        <f t="shared" si="23"/>
        <v>{ file:'2.16.840.1.113883.10.20.22.1.1.html', href:'https://hl7.org/cda/us/ccda/Binary-history-and-physical-header-example.html', text:'history-and-physical-header-example' },</v>
      </c>
    </row>
    <row r="228" spans="1:11" x14ac:dyDescent="0.25">
      <c r="A228" t="s">
        <v>1214</v>
      </c>
      <c r="B228" t="s">
        <v>81</v>
      </c>
      <c r="C228">
        <f t="shared" si="18"/>
        <v>14</v>
      </c>
      <c r="D228">
        <f t="shared" si="19"/>
        <v>52</v>
      </c>
      <c r="E228">
        <f t="shared" si="20"/>
        <v>52</v>
      </c>
      <c r="F228" t="s">
        <v>481</v>
      </c>
      <c r="G228">
        <f t="shared" si="21"/>
        <v>31</v>
      </c>
      <c r="H228" t="s">
        <v>724</v>
      </c>
      <c r="I228" t="str">
        <f t="shared" si="22"/>
        <v>https://hl7.org/cda/us/ccda/Binary-history-and-physical-header-example.html</v>
      </c>
      <c r="J228" t="s">
        <v>1436</v>
      </c>
      <c r="K228" t="str">
        <f t="shared" si="23"/>
        <v>{ file:'2.16.840.1.113883.10.20.22.1.3.html', href:'https://hl7.org/cda/us/ccda/Binary-history-and-physical-header-example.html', text:'history-and-physical-header-example' },</v>
      </c>
    </row>
    <row r="229" spans="1:11" x14ac:dyDescent="0.25">
      <c r="A229" t="s">
        <v>1214</v>
      </c>
      <c r="B229" t="s">
        <v>62</v>
      </c>
      <c r="C229">
        <f t="shared" si="18"/>
        <v>18</v>
      </c>
      <c r="D229">
        <f t="shared" si="19"/>
        <v>58</v>
      </c>
      <c r="E229">
        <f t="shared" si="20"/>
        <v>58</v>
      </c>
      <c r="F229" t="s">
        <v>376</v>
      </c>
      <c r="G229">
        <f t="shared" si="21"/>
        <v>33</v>
      </c>
      <c r="H229" t="s">
        <v>624</v>
      </c>
      <c r="I229" t="str">
        <f t="shared" si="22"/>
        <v>https://hl7.org/cda/us/ccda/Binary-history-and-physical-header-example.html</v>
      </c>
      <c r="J229" t="s">
        <v>1436</v>
      </c>
      <c r="K229" t="str">
        <f t="shared" si="23"/>
        <v>{ file:'2.16.840.1.113883.10.20.22.2.6.1.html', href:'https://hl7.org/cda/us/ccda/Binary-history-and-physical-header-example.html', text:'history-and-physical-header-example' },</v>
      </c>
    </row>
    <row r="230" spans="1:11" x14ac:dyDescent="0.25">
      <c r="A230" t="s">
        <v>1214</v>
      </c>
      <c r="B230" t="s">
        <v>63</v>
      </c>
      <c r="C230">
        <f t="shared" si="18"/>
        <v>18</v>
      </c>
      <c r="D230">
        <f t="shared" si="19"/>
        <v>58</v>
      </c>
      <c r="E230">
        <f t="shared" si="20"/>
        <v>58</v>
      </c>
      <c r="F230" t="s">
        <v>417</v>
      </c>
      <c r="G230">
        <f t="shared" si="21"/>
        <v>33</v>
      </c>
      <c r="H230" t="s">
        <v>663</v>
      </c>
      <c r="I230" t="str">
        <f t="shared" si="22"/>
        <v>https://hl7.org/cda/us/ccda/Binary-history-and-physical-header-example.html</v>
      </c>
      <c r="J230" t="s">
        <v>1436</v>
      </c>
      <c r="K230" t="str">
        <f t="shared" si="23"/>
        <v>{ file:'2.16.840.1.113883.10.20.22.2.5.1.html', href:'https://hl7.org/cda/us/ccda/Binary-history-and-physical-header-example.html', text:'history-and-physical-header-example' },</v>
      </c>
    </row>
    <row r="231" spans="1:11" x14ac:dyDescent="0.25">
      <c r="A231" t="s">
        <v>1214</v>
      </c>
      <c r="B231" t="s">
        <v>64</v>
      </c>
      <c r="C231">
        <f t="shared" si="18"/>
        <v>18</v>
      </c>
      <c r="D231">
        <f t="shared" si="19"/>
        <v>58</v>
      </c>
      <c r="E231">
        <f t="shared" si="20"/>
        <v>58</v>
      </c>
      <c r="F231" t="s">
        <v>418</v>
      </c>
      <c r="G231">
        <f t="shared" si="21"/>
        <v>33</v>
      </c>
      <c r="H231" t="s">
        <v>664</v>
      </c>
      <c r="I231" t="str">
        <f t="shared" si="22"/>
        <v>https://hl7.org/cda/us/ccda/Binary-history-and-physical-header-example.html</v>
      </c>
      <c r="J231" t="s">
        <v>1436</v>
      </c>
      <c r="K231" t="str">
        <f t="shared" si="23"/>
        <v>{ file:'2.16.840.1.113883.10.20.22.2.1.1.html', href:'https://hl7.org/cda/us/ccda/Binary-history-and-physical-header-example.html', text:'history-and-physical-header-example' },</v>
      </c>
    </row>
    <row r="232" spans="1:11" x14ac:dyDescent="0.25">
      <c r="A232" t="s">
        <v>1214</v>
      </c>
      <c r="B232" t="s">
        <v>65</v>
      </c>
      <c r="C232">
        <f t="shared" si="18"/>
        <v>18</v>
      </c>
      <c r="D232">
        <f t="shared" si="19"/>
        <v>56</v>
      </c>
      <c r="E232">
        <f t="shared" si="20"/>
        <v>56</v>
      </c>
      <c r="F232" t="s">
        <v>387</v>
      </c>
      <c r="G232">
        <f t="shared" si="21"/>
        <v>31</v>
      </c>
      <c r="H232" t="s">
        <v>633</v>
      </c>
      <c r="I232" t="str">
        <f t="shared" si="22"/>
        <v>https://hl7.org/cda/us/ccda/Binary-history-and-physical-header-example.html</v>
      </c>
      <c r="J232" t="s">
        <v>1436</v>
      </c>
      <c r="K232" t="str">
        <f t="shared" si="23"/>
        <v>{ file:'2.16.840.1.113883.10.20.22.2.9.html', href:'https://hl7.org/cda/us/ccda/Binary-history-and-physical-header-example.html', text:'history-and-physical-header-example' },</v>
      </c>
    </row>
    <row r="233" spans="1:11" x14ac:dyDescent="0.25">
      <c r="A233" t="s">
        <v>1214</v>
      </c>
      <c r="B233" t="s">
        <v>66</v>
      </c>
      <c r="C233">
        <f t="shared" si="18"/>
        <v>18</v>
      </c>
      <c r="D233" t="e">
        <f t="shared" si="19"/>
        <v>#VALUE!</v>
      </c>
      <c r="E233">
        <f t="shared" si="20"/>
        <v>100</v>
      </c>
      <c r="F233" t="s">
        <v>429</v>
      </c>
      <c r="G233">
        <f t="shared" si="21"/>
        <v>30</v>
      </c>
      <c r="H233" t="s">
        <v>675</v>
      </c>
      <c r="I233" t="str">
        <f t="shared" si="22"/>
        <v>https://hl7.org/cda/us/ccda/Binary-history-and-physical-header-example.html</v>
      </c>
      <c r="J233" t="s">
        <v>1436</v>
      </c>
      <c r="K233" t="str">
        <f t="shared" si="23"/>
        <v>{ file:'1.3.6.1.4.1.19376.1.5.3.1.3.4.html', href:'https://hl7.org/cda/us/ccda/Binary-history-and-physical-header-example.html', text:'history-and-physical-header-example' },</v>
      </c>
    </row>
    <row r="234" spans="1:11" x14ac:dyDescent="0.25">
      <c r="A234" t="s">
        <v>1214</v>
      </c>
      <c r="B234" t="s">
        <v>67</v>
      </c>
      <c r="C234">
        <f t="shared" si="18"/>
        <v>18</v>
      </c>
      <c r="D234">
        <f t="shared" si="19"/>
        <v>58</v>
      </c>
      <c r="E234">
        <f t="shared" si="20"/>
        <v>58</v>
      </c>
      <c r="F234" t="s">
        <v>419</v>
      </c>
      <c r="G234">
        <f t="shared" si="21"/>
        <v>33</v>
      </c>
      <c r="H234" t="s">
        <v>665</v>
      </c>
      <c r="I234" t="str">
        <f t="shared" si="22"/>
        <v>https://hl7.org/cda/us/ccda/Binary-history-and-physical-header-example.html</v>
      </c>
      <c r="J234" t="s">
        <v>1436</v>
      </c>
      <c r="K234" t="str">
        <f t="shared" si="23"/>
        <v>{ file:'2.16.840.1.113883.10.20.22.2.3.1.html', href:'https://hl7.org/cda/us/ccda/Binary-history-and-physical-header-example.html', text:'history-and-physical-header-example' },</v>
      </c>
    </row>
    <row r="235" spans="1:11" x14ac:dyDescent="0.25">
      <c r="A235" t="s">
        <v>1214</v>
      </c>
      <c r="B235" t="s">
        <v>68</v>
      </c>
      <c r="C235">
        <f t="shared" si="18"/>
        <v>18</v>
      </c>
      <c r="D235" t="e">
        <f t="shared" si="19"/>
        <v>#VALUE!</v>
      </c>
      <c r="E235">
        <f t="shared" si="20"/>
        <v>100</v>
      </c>
      <c r="F235" t="s">
        <v>430</v>
      </c>
      <c r="G235">
        <f t="shared" si="21"/>
        <v>32</v>
      </c>
      <c r="H235" t="s">
        <v>676</v>
      </c>
      <c r="I235" t="str">
        <f t="shared" si="22"/>
        <v>https://hl7.org/cda/us/ccda/Binary-history-and-physical-header-example.html</v>
      </c>
      <c r="J235" t="s">
        <v>1436</v>
      </c>
      <c r="K235" t="str">
        <f t="shared" si="23"/>
        <v>{ file:'2.16.840.1.113883.10.20.22.2.12.html', href:'https://hl7.org/cda/us/ccda/Binary-history-and-physical-header-example.html', text:'history-and-physical-header-example' },</v>
      </c>
    </row>
    <row r="236" spans="1:11" x14ac:dyDescent="0.25">
      <c r="A236" t="s">
        <v>1214</v>
      </c>
      <c r="B236" t="s">
        <v>69</v>
      </c>
      <c r="C236">
        <f t="shared" si="18"/>
        <v>18</v>
      </c>
      <c r="D236">
        <f t="shared" si="19"/>
        <v>54</v>
      </c>
      <c r="E236">
        <f t="shared" si="20"/>
        <v>54</v>
      </c>
      <c r="F236" t="s">
        <v>431</v>
      </c>
      <c r="G236">
        <f t="shared" si="21"/>
        <v>29</v>
      </c>
      <c r="H236" t="s">
        <v>677</v>
      </c>
      <c r="I236" t="str">
        <f t="shared" si="22"/>
        <v>https://hl7.org/cda/us/ccda/Binary-history-and-physical-header-example.html</v>
      </c>
      <c r="J236" t="s">
        <v>1436</v>
      </c>
      <c r="K236" t="str">
        <f t="shared" si="23"/>
        <v>{ file:'2.16.840.1.113883.10.20.2.10.html', href:'https://hl7.org/cda/us/ccda/Binary-history-and-physical-header-example.html', text:'history-and-physical-header-example' },</v>
      </c>
    </row>
    <row r="237" spans="1:11" x14ac:dyDescent="0.25">
      <c r="A237" t="s">
        <v>1214</v>
      </c>
      <c r="B237" t="s">
        <v>82</v>
      </c>
      <c r="C237">
        <f t="shared" si="18"/>
        <v>18</v>
      </c>
      <c r="D237">
        <f t="shared" si="19"/>
        <v>58</v>
      </c>
      <c r="E237">
        <f t="shared" si="20"/>
        <v>58</v>
      </c>
      <c r="F237" t="s">
        <v>420</v>
      </c>
      <c r="G237">
        <f t="shared" si="21"/>
        <v>33</v>
      </c>
      <c r="H237" t="s">
        <v>666</v>
      </c>
      <c r="I237" t="str">
        <f t="shared" si="22"/>
        <v>https://hl7.org/cda/us/ccda/Binary-history-and-physical-header-example.html</v>
      </c>
      <c r="J237" t="s">
        <v>1436</v>
      </c>
      <c r="K237" t="str">
        <f t="shared" si="23"/>
        <v>{ file:'2.16.840.1.113883.10.20.22.2.4.1.html', href:'https://hl7.org/cda/us/ccda/Binary-history-and-physical-header-example.html', text:'history-and-physical-header-example' },</v>
      </c>
    </row>
    <row r="238" spans="1:11" x14ac:dyDescent="0.25">
      <c r="A238" t="s">
        <v>1214</v>
      </c>
      <c r="B238" t="s">
        <v>83</v>
      </c>
      <c r="C238">
        <f t="shared" si="18"/>
        <v>18</v>
      </c>
      <c r="D238">
        <f t="shared" si="19"/>
        <v>57</v>
      </c>
      <c r="E238">
        <f t="shared" si="20"/>
        <v>57</v>
      </c>
      <c r="F238" t="s">
        <v>416</v>
      </c>
      <c r="G238">
        <f t="shared" si="21"/>
        <v>32</v>
      </c>
      <c r="H238" t="s">
        <v>662</v>
      </c>
      <c r="I238" t="str">
        <f t="shared" si="22"/>
        <v>https://hl7.org/cda/us/ccda/Binary-history-and-physical-header-example.html</v>
      </c>
      <c r="J238" t="s">
        <v>1436</v>
      </c>
      <c r="K238" t="str">
        <f t="shared" si="23"/>
        <v>{ file:'2.16.840.1.113883.10.20.22.2.17.html', href:'https://hl7.org/cda/us/ccda/Binary-history-and-physical-header-example.html', text:'history-and-physical-header-example' },</v>
      </c>
    </row>
    <row r="239" spans="1:11" x14ac:dyDescent="0.25">
      <c r="A239" t="s">
        <v>1214</v>
      </c>
      <c r="B239" t="s">
        <v>84</v>
      </c>
      <c r="C239">
        <f t="shared" si="18"/>
        <v>18</v>
      </c>
      <c r="D239">
        <f t="shared" si="19"/>
        <v>57</v>
      </c>
      <c r="E239">
        <f t="shared" si="20"/>
        <v>57</v>
      </c>
      <c r="F239" t="s">
        <v>464</v>
      </c>
      <c r="G239">
        <f t="shared" si="21"/>
        <v>32</v>
      </c>
      <c r="H239" t="s">
        <v>710</v>
      </c>
      <c r="I239" t="str">
        <f t="shared" si="22"/>
        <v>https://hl7.org/cda/us/ccda/Binary-history-and-physical-header-example.html</v>
      </c>
      <c r="J239" t="s">
        <v>1436</v>
      </c>
      <c r="K239" t="str">
        <f t="shared" si="23"/>
        <v>{ file:'2.16.840.1.113883.10.20.22.2.15.html', href:'https://hl7.org/cda/us/ccda/Binary-history-and-physical-header-example.html', text:'history-and-physical-header-example' },</v>
      </c>
    </row>
    <row r="240" spans="1:11" x14ac:dyDescent="0.25">
      <c r="A240" t="s">
        <v>1214</v>
      </c>
      <c r="B240" t="s">
        <v>85</v>
      </c>
      <c r="C240">
        <f t="shared" si="18"/>
        <v>18</v>
      </c>
      <c r="D240">
        <f t="shared" si="19"/>
        <v>57</v>
      </c>
      <c r="E240">
        <f t="shared" si="20"/>
        <v>57</v>
      </c>
      <c r="F240" t="s">
        <v>482</v>
      </c>
      <c r="G240">
        <f t="shared" si="21"/>
        <v>32</v>
      </c>
      <c r="H240" t="s">
        <v>725</v>
      </c>
      <c r="I240" t="str">
        <f t="shared" si="22"/>
        <v>https://hl7.org/cda/us/ccda/Binary-history-and-physical-header-example.html</v>
      </c>
      <c r="J240" t="s">
        <v>1436</v>
      </c>
      <c r="K240" t="str">
        <f t="shared" si="23"/>
        <v>{ file:'2.16.840.1.113883.10.20.22.2.20.html', href:'https://hl7.org/cda/us/ccda/Binary-history-and-physical-header-example.html', text:'history-and-physical-header-example' },</v>
      </c>
    </row>
    <row r="241" spans="1:11" x14ac:dyDescent="0.25">
      <c r="A241" t="s">
        <v>1214</v>
      </c>
      <c r="B241" t="s">
        <v>86</v>
      </c>
      <c r="C241">
        <f t="shared" si="18"/>
        <v>18</v>
      </c>
      <c r="D241" t="e">
        <f t="shared" si="19"/>
        <v>#VALUE!</v>
      </c>
      <c r="E241">
        <f t="shared" si="20"/>
        <v>100</v>
      </c>
      <c r="F241" t="s">
        <v>473</v>
      </c>
      <c r="G241">
        <f t="shared" si="21"/>
        <v>28</v>
      </c>
      <c r="H241" t="s">
        <v>717</v>
      </c>
      <c r="I241" t="str">
        <f t="shared" si="22"/>
        <v>https://hl7.org/cda/us/ccda/Binary-history-and-physical-header-example.html</v>
      </c>
      <c r="J241" t="s">
        <v>1436</v>
      </c>
      <c r="K241" t="str">
        <f t="shared" si="23"/>
        <v>{ file:'2.16.840.1.113883.10.20.2.5.html', href:'https://hl7.org/cda/us/ccda/Binary-history-and-physical-header-example.html', text:'history-and-physical-header-example' },</v>
      </c>
    </row>
    <row r="242" spans="1:11" x14ac:dyDescent="0.25">
      <c r="A242" t="s">
        <v>1214</v>
      </c>
      <c r="B242" t="s">
        <v>87</v>
      </c>
      <c r="C242">
        <f t="shared" si="18"/>
        <v>18</v>
      </c>
      <c r="D242" t="e">
        <f t="shared" si="19"/>
        <v>#VALUE!</v>
      </c>
      <c r="E242">
        <f t="shared" si="20"/>
        <v>100</v>
      </c>
      <c r="F242" t="s">
        <v>483</v>
      </c>
      <c r="G242">
        <f t="shared" si="21"/>
        <v>31</v>
      </c>
      <c r="H242" t="s">
        <v>726</v>
      </c>
      <c r="I242" t="str">
        <f t="shared" si="22"/>
        <v>https://hl7.org/cda/us/ccda/Binary-history-and-physical-header-example.html</v>
      </c>
      <c r="J242" t="s">
        <v>1436</v>
      </c>
      <c r="K242" t="str">
        <f t="shared" si="23"/>
        <v>{ file:'1.3.6.1.4.1.19376.1.5.3.1.3.18.html', href:'https://hl7.org/cda/us/ccda/Binary-history-and-physical-header-example.html', text:'history-and-physical-header-example' },</v>
      </c>
    </row>
    <row r="243" spans="1:11" x14ac:dyDescent="0.25">
      <c r="A243" t="s">
        <v>1215</v>
      </c>
      <c r="B243" t="s">
        <v>8</v>
      </c>
      <c r="C243">
        <f t="shared" si="18"/>
        <v>13</v>
      </c>
      <c r="D243" t="e">
        <f t="shared" si="19"/>
        <v>#VALUE!</v>
      </c>
      <c r="E243">
        <f t="shared" si="20"/>
        <v>100</v>
      </c>
      <c r="F243" t="s">
        <v>429</v>
      </c>
      <c r="G243">
        <f t="shared" si="21"/>
        <v>30</v>
      </c>
      <c r="H243" t="s">
        <v>675</v>
      </c>
      <c r="I243" t="str">
        <f t="shared" si="22"/>
        <v>https://hl7.org/cda/us/ccda/Binary-history-of-present-illness-section-example.html</v>
      </c>
      <c r="J243" t="s">
        <v>1437</v>
      </c>
      <c r="K243" t="str">
        <f t="shared" si="23"/>
        <v>{ file:'1.3.6.1.4.1.19376.1.5.3.1.3.4.html', href:'https://hl7.org/cda/us/ccda/Binary-history-of-present-illness-section-example.html', text:'history-of-present-illness-section-example' },</v>
      </c>
    </row>
    <row r="244" spans="1:11" x14ac:dyDescent="0.25">
      <c r="A244" t="s">
        <v>1216</v>
      </c>
      <c r="B244" t="s">
        <v>116</v>
      </c>
      <c r="C244">
        <f t="shared" si="18"/>
        <v>13</v>
      </c>
      <c r="D244">
        <f t="shared" si="19"/>
        <v>52</v>
      </c>
      <c r="E244">
        <f t="shared" si="20"/>
        <v>52</v>
      </c>
      <c r="F244" t="s">
        <v>364</v>
      </c>
      <c r="G244">
        <f t="shared" si="21"/>
        <v>32</v>
      </c>
      <c r="H244" t="s">
        <v>612</v>
      </c>
      <c r="I244" t="str">
        <f t="shared" si="22"/>
        <v>https://hl7.org/cda/us/ccda/Binary-hospital-admission-diagnosis-example.html</v>
      </c>
      <c r="J244" t="s">
        <v>1438</v>
      </c>
      <c r="K244" t="str">
        <f t="shared" si="23"/>
        <v>{ file:'2.16.840.1.113883.10.20.22.4.34.html', href:'https://hl7.org/cda/us/ccda/Binary-hospital-admission-diagnosis-example.html', text:'hospital-admission-diagnosis-example' },</v>
      </c>
    </row>
    <row r="245" spans="1:11" x14ac:dyDescent="0.25">
      <c r="A245" t="s">
        <v>1216</v>
      </c>
      <c r="B245" t="s">
        <v>210</v>
      </c>
      <c r="C245">
        <f t="shared" si="18"/>
        <v>16</v>
      </c>
      <c r="D245">
        <f t="shared" si="19"/>
        <v>54</v>
      </c>
      <c r="E245">
        <f t="shared" si="20"/>
        <v>54</v>
      </c>
      <c r="F245" t="s">
        <v>365</v>
      </c>
      <c r="G245">
        <f t="shared" si="21"/>
        <v>31</v>
      </c>
      <c r="H245" t="s">
        <v>613</v>
      </c>
      <c r="I245" t="str">
        <f t="shared" si="22"/>
        <v>https://hl7.org/cda/us/ccda/Binary-hospital-admission-diagnosis-example.html</v>
      </c>
      <c r="J245" t="s">
        <v>1438</v>
      </c>
      <c r="K245" t="str">
        <f t="shared" si="23"/>
        <v>{ file:'2.16.840.1.113883.10.20.22.4.4.html', href:'https://hl7.org/cda/us/ccda/Binary-hospital-admission-diagnosis-example.html', text:'hospital-admission-diagnosis-example' },</v>
      </c>
    </row>
    <row r="246" spans="1:11" x14ac:dyDescent="0.25">
      <c r="A246" t="s">
        <v>1216</v>
      </c>
      <c r="B246" t="s">
        <v>132</v>
      </c>
      <c r="C246">
        <f t="shared" si="18"/>
        <v>16</v>
      </c>
      <c r="D246" t="e">
        <f t="shared" si="19"/>
        <v>#VALUE!</v>
      </c>
      <c r="E246">
        <f t="shared" si="20"/>
        <v>100</v>
      </c>
      <c r="F246" t="s">
        <v>372</v>
      </c>
      <c r="G246">
        <f t="shared" si="21"/>
        <v>33</v>
      </c>
      <c r="H246" t="s">
        <v>620</v>
      </c>
      <c r="I246" t="str">
        <f t="shared" si="22"/>
        <v>https://hl7.org/cda/us/ccda/Binary-hospital-admission-diagnosis-example.html</v>
      </c>
      <c r="J246" t="s">
        <v>1438</v>
      </c>
      <c r="K246" t="str">
        <f t="shared" si="23"/>
        <v>{ file:'2.16.840.1.113883.10.20.22.4.119.html', href:'https://hl7.org/cda/us/ccda/Binary-hospital-admission-diagnosis-example.html', text:'hospital-admission-diagnosis-example' },</v>
      </c>
    </row>
    <row r="247" spans="1:11" x14ac:dyDescent="0.25">
      <c r="A247" t="s">
        <v>1217</v>
      </c>
      <c r="B247" t="s">
        <v>16</v>
      </c>
      <c r="C247">
        <f t="shared" si="18"/>
        <v>13</v>
      </c>
      <c r="D247" t="e">
        <f t="shared" si="19"/>
        <v>#VALUE!</v>
      </c>
      <c r="E247">
        <f t="shared" si="20"/>
        <v>100</v>
      </c>
      <c r="F247" t="s">
        <v>450</v>
      </c>
      <c r="G247">
        <f t="shared" si="21"/>
        <v>32</v>
      </c>
      <c r="H247" t="s">
        <v>696</v>
      </c>
      <c r="I247" t="str">
        <f t="shared" si="22"/>
        <v>https://hl7.org/cda/us/ccda/Binary-hospital-consultations-section-example.html</v>
      </c>
      <c r="J247" t="s">
        <v>1439</v>
      </c>
      <c r="K247" t="str">
        <f t="shared" si="23"/>
        <v>{ file:'2.16.840.1.113883.10.20.22.2.42.html', href:'https://hl7.org/cda/us/ccda/Binary-hospital-consultations-section-example.html', text:'hospital-consultations-section-example' },</v>
      </c>
    </row>
    <row r="248" spans="1:11" x14ac:dyDescent="0.25">
      <c r="A248" t="s">
        <v>1218</v>
      </c>
      <c r="B248" t="s">
        <v>13</v>
      </c>
      <c r="C248">
        <f t="shared" si="18"/>
        <v>13</v>
      </c>
      <c r="D248" t="e">
        <f t="shared" si="19"/>
        <v>#VALUE!</v>
      </c>
      <c r="E248">
        <f t="shared" si="20"/>
        <v>100</v>
      </c>
      <c r="F248" t="s">
        <v>448</v>
      </c>
      <c r="G248">
        <f t="shared" si="21"/>
        <v>30</v>
      </c>
      <c r="H248" t="s">
        <v>694</v>
      </c>
      <c r="I248" t="str">
        <f t="shared" si="22"/>
        <v>https://hl7.org/cda/us/ccda/Binary-hospital-course-section-example.html</v>
      </c>
      <c r="J248" t="s">
        <v>1440</v>
      </c>
      <c r="K248" t="str">
        <f t="shared" si="23"/>
        <v>{ file:'1.3.6.1.4.1.19376.1.5.3.1.3.5.html', href:'https://hl7.org/cda/us/ccda/Binary-hospital-course-section-example.html', text:'hospital-course-section-example' },</v>
      </c>
    </row>
    <row r="249" spans="1:11" x14ac:dyDescent="0.25">
      <c r="A249" t="s">
        <v>1219</v>
      </c>
      <c r="B249" t="s">
        <v>175</v>
      </c>
      <c r="C249">
        <f t="shared" si="18"/>
        <v>13</v>
      </c>
      <c r="D249">
        <f t="shared" si="19"/>
        <v>52</v>
      </c>
      <c r="E249">
        <f t="shared" si="20"/>
        <v>52</v>
      </c>
      <c r="F249" t="s">
        <v>442</v>
      </c>
      <c r="G249">
        <f t="shared" si="21"/>
        <v>32</v>
      </c>
      <c r="H249" t="s">
        <v>688</v>
      </c>
      <c r="I249" t="str">
        <f t="shared" si="22"/>
        <v>https://hl7.org/cda/us/ccda/Binary-hospital-discharge-diagnosis-example.html</v>
      </c>
      <c r="J249" t="s">
        <v>1441</v>
      </c>
      <c r="K249" t="str">
        <f t="shared" si="23"/>
        <v>{ file:'2.16.840.1.113883.10.20.22.4.33.html', href:'https://hl7.org/cda/us/ccda/Binary-hospital-discharge-diagnosis-example.html', text:'hospital-discharge-diagnosis-example' },</v>
      </c>
    </row>
    <row r="250" spans="1:11" x14ac:dyDescent="0.25">
      <c r="A250" t="s">
        <v>1219</v>
      </c>
      <c r="B250" t="s">
        <v>117</v>
      </c>
      <c r="C250">
        <f t="shared" si="18"/>
        <v>13</v>
      </c>
      <c r="D250">
        <f t="shared" si="19"/>
        <v>51</v>
      </c>
      <c r="E250">
        <f t="shared" si="20"/>
        <v>51</v>
      </c>
      <c r="F250" t="s">
        <v>365</v>
      </c>
      <c r="G250">
        <f t="shared" si="21"/>
        <v>31</v>
      </c>
      <c r="H250" t="s">
        <v>613</v>
      </c>
      <c r="I250" t="str">
        <f t="shared" si="22"/>
        <v>https://hl7.org/cda/us/ccda/Binary-hospital-discharge-diagnosis-example.html</v>
      </c>
      <c r="J250" t="s">
        <v>1441</v>
      </c>
      <c r="K250" t="str">
        <f t="shared" si="23"/>
        <v>{ file:'2.16.840.1.113883.10.20.22.4.4.html', href:'https://hl7.org/cda/us/ccda/Binary-hospital-discharge-diagnosis-example.html', text:'hospital-discharge-diagnosis-example' },</v>
      </c>
    </row>
    <row r="251" spans="1:11" x14ac:dyDescent="0.25">
      <c r="A251" t="s">
        <v>1219</v>
      </c>
      <c r="B251" t="s">
        <v>124</v>
      </c>
      <c r="C251">
        <f t="shared" si="18"/>
        <v>13</v>
      </c>
      <c r="D251" t="e">
        <f t="shared" si="19"/>
        <v>#VALUE!</v>
      </c>
      <c r="E251">
        <f t="shared" si="20"/>
        <v>100</v>
      </c>
      <c r="F251" t="s">
        <v>372</v>
      </c>
      <c r="G251">
        <f t="shared" si="21"/>
        <v>33</v>
      </c>
      <c r="H251" t="s">
        <v>620</v>
      </c>
      <c r="I251" t="str">
        <f t="shared" si="22"/>
        <v>https://hl7.org/cda/us/ccda/Binary-hospital-discharge-diagnosis-example.html</v>
      </c>
      <c r="J251" t="s">
        <v>1441</v>
      </c>
      <c r="K251" t="str">
        <f t="shared" si="23"/>
        <v>{ file:'2.16.840.1.113883.10.20.22.4.119.html', href:'https://hl7.org/cda/us/ccda/Binary-hospital-discharge-diagnosis-example.html', text:'hospital-discharge-diagnosis-example' },</v>
      </c>
    </row>
    <row r="252" spans="1:11" x14ac:dyDescent="0.25">
      <c r="A252" t="s">
        <v>1220</v>
      </c>
      <c r="B252" t="s">
        <v>211</v>
      </c>
      <c r="C252">
        <f t="shared" si="18"/>
        <v>13</v>
      </c>
      <c r="D252" t="e">
        <f t="shared" si="19"/>
        <v>#VALUE!</v>
      </c>
      <c r="E252">
        <f t="shared" si="20"/>
        <v>100</v>
      </c>
      <c r="F252" t="s">
        <v>484</v>
      </c>
      <c r="G252">
        <f t="shared" si="21"/>
        <v>32</v>
      </c>
      <c r="H252" t="s">
        <v>727</v>
      </c>
      <c r="I252" t="str">
        <f t="shared" si="22"/>
        <v>https://hl7.org/cda/us/ccda/Binary-hospital-discharge-instructions-section-example.html</v>
      </c>
      <c r="J252" t="s">
        <v>1442</v>
      </c>
      <c r="K252" t="str">
        <f t="shared" si="23"/>
        <v>{ file:'2.16.840.1.113883.10.20.22.2.41.html', href:'https://hl7.org/cda/us/ccda/Binary-hospital-discharge-instructions-section-example.html', text:'hospital-discharge-instructions-section-example' },</v>
      </c>
    </row>
    <row r="253" spans="1:11" x14ac:dyDescent="0.25">
      <c r="A253" t="s">
        <v>1221</v>
      </c>
      <c r="B253" t="s">
        <v>212</v>
      </c>
      <c r="C253">
        <f t="shared" si="18"/>
        <v>13</v>
      </c>
      <c r="D253" t="e">
        <f t="shared" si="19"/>
        <v>#VALUE!</v>
      </c>
      <c r="E253">
        <f t="shared" si="20"/>
        <v>100</v>
      </c>
      <c r="F253" t="s">
        <v>485</v>
      </c>
      <c r="G253">
        <f t="shared" si="21"/>
        <v>31</v>
      </c>
      <c r="H253" t="s">
        <v>728</v>
      </c>
      <c r="I253" t="str">
        <f t="shared" si="22"/>
        <v>https://hl7.org/cda/us/ccda/Binary-hospital-discharge-physical-section-example.html</v>
      </c>
      <c r="J253" t="s">
        <v>1443</v>
      </c>
      <c r="K253" t="str">
        <f t="shared" si="23"/>
        <v>{ file:'1.3.6.1.4.1.19376.1.5.3.1.3.26.html', href:'https://hl7.org/cda/us/ccda/Binary-hospital-discharge-physical-section-example.html', text:'hospital-discharge-physical-section-example' },</v>
      </c>
    </row>
    <row r="254" spans="1:11" x14ac:dyDescent="0.25">
      <c r="A254" t="s">
        <v>1222</v>
      </c>
      <c r="B254" t="s">
        <v>213</v>
      </c>
      <c r="C254">
        <f t="shared" si="18"/>
        <v>13</v>
      </c>
      <c r="D254" t="e">
        <f t="shared" si="19"/>
        <v>#VALUE!</v>
      </c>
      <c r="E254">
        <f t="shared" si="20"/>
        <v>100</v>
      </c>
      <c r="F254" t="s">
        <v>486</v>
      </c>
      <c r="G254">
        <f t="shared" si="21"/>
        <v>32</v>
      </c>
      <c r="H254" t="s">
        <v>729</v>
      </c>
      <c r="I254" t="str">
        <f t="shared" si="22"/>
        <v>https://hl7.org/cda/us/ccda/Binary-hospital-discharge-studies-summary-section-example.html</v>
      </c>
      <c r="J254" t="s">
        <v>1444</v>
      </c>
      <c r="K254" t="str">
        <f t="shared" si="23"/>
        <v>{ file:'2.16.840.1.113883.10.20.22.2.16.html', href:'https://hl7.org/cda/us/ccda/Binary-hospital-discharge-studies-summary-section-example.html', text:'hospital-discharge-studies-summary-section-example' },</v>
      </c>
    </row>
    <row r="255" spans="1:11" x14ac:dyDescent="0.25">
      <c r="A255" t="s">
        <v>1223</v>
      </c>
      <c r="B255" t="s">
        <v>214</v>
      </c>
      <c r="C255">
        <f t="shared" si="18"/>
        <v>13</v>
      </c>
      <c r="D255">
        <f t="shared" si="19"/>
        <v>52</v>
      </c>
      <c r="E255">
        <f t="shared" si="20"/>
        <v>52</v>
      </c>
      <c r="F255" t="s">
        <v>487</v>
      </c>
      <c r="G255">
        <f t="shared" si="21"/>
        <v>32</v>
      </c>
      <c r="H255" t="s">
        <v>730</v>
      </c>
      <c r="I255" t="str">
        <f t="shared" si="22"/>
        <v>https://hl7.org/cda/us/ccda/Binary-immunization-activity-example.html</v>
      </c>
      <c r="J255" t="s">
        <v>1445</v>
      </c>
      <c r="K255" t="str">
        <f t="shared" si="23"/>
        <v>{ file:'2.16.840.1.113883.10.20.22.4.52.html', href:'https://hl7.org/cda/us/ccda/Binary-immunization-activity-example.html', text:'immunization-activity-example' },</v>
      </c>
    </row>
    <row r="256" spans="1:11" x14ac:dyDescent="0.25">
      <c r="A256" t="s">
        <v>1223</v>
      </c>
      <c r="B256" t="s">
        <v>215</v>
      </c>
      <c r="C256">
        <f t="shared" si="18"/>
        <v>13</v>
      </c>
      <c r="D256">
        <f t="shared" si="19"/>
        <v>52</v>
      </c>
      <c r="E256">
        <f t="shared" si="20"/>
        <v>52</v>
      </c>
      <c r="F256" t="s">
        <v>488</v>
      </c>
      <c r="G256">
        <f t="shared" si="21"/>
        <v>32</v>
      </c>
      <c r="H256" t="s">
        <v>731</v>
      </c>
      <c r="I256" t="str">
        <f t="shared" si="22"/>
        <v>https://hl7.org/cda/us/ccda/Binary-immunization-activity-example.html</v>
      </c>
      <c r="J256" t="s">
        <v>1445</v>
      </c>
      <c r="K256" t="str">
        <f t="shared" si="23"/>
        <v>{ file:'2.16.840.1.113883.10.20.22.4.54.html', href:'https://hl7.org/cda/us/ccda/Binary-immunization-activity-example.html', text:'immunization-activity-example' },</v>
      </c>
    </row>
    <row r="257" spans="1:11" x14ac:dyDescent="0.25">
      <c r="A257" t="s">
        <v>1224</v>
      </c>
      <c r="B257" t="s">
        <v>215</v>
      </c>
      <c r="C257">
        <f t="shared" si="18"/>
        <v>13</v>
      </c>
      <c r="D257">
        <f t="shared" si="19"/>
        <v>52</v>
      </c>
      <c r="E257">
        <f t="shared" si="20"/>
        <v>52</v>
      </c>
      <c r="F257" t="s">
        <v>488</v>
      </c>
      <c r="G257">
        <f t="shared" si="21"/>
        <v>32</v>
      </c>
      <c r="H257" t="s">
        <v>731</v>
      </c>
      <c r="I257" t="str">
        <f t="shared" si="22"/>
        <v>https://hl7.org/cda/us/ccda/Binary-immunization-medication-information-example.html</v>
      </c>
      <c r="J257" t="s">
        <v>1446</v>
      </c>
      <c r="K257" t="str">
        <f t="shared" si="23"/>
        <v>{ file:'2.16.840.1.113883.10.20.22.4.54.html', href:'https://hl7.org/cda/us/ccda/Binary-immunization-medication-information-example.html', text:'immunization-medication-information-example' },</v>
      </c>
    </row>
    <row r="258" spans="1:11" x14ac:dyDescent="0.25">
      <c r="A258" t="s">
        <v>1225</v>
      </c>
      <c r="B258" t="s">
        <v>216</v>
      </c>
      <c r="C258">
        <f t="shared" si="18"/>
        <v>13</v>
      </c>
      <c r="D258">
        <f t="shared" si="19"/>
        <v>52</v>
      </c>
      <c r="E258">
        <f t="shared" si="20"/>
        <v>52</v>
      </c>
      <c r="F258" t="s">
        <v>489</v>
      </c>
      <c r="G258">
        <f t="shared" si="21"/>
        <v>32</v>
      </c>
      <c r="H258" t="s">
        <v>732</v>
      </c>
      <c r="I258" t="str">
        <f t="shared" si="22"/>
        <v>https://hl7.org/cda/us/ccda/Binary-immunization-notgiven-reason-example.html</v>
      </c>
      <c r="J258" t="s">
        <v>1447</v>
      </c>
      <c r="K258" t="str">
        <f t="shared" si="23"/>
        <v>{ file:'2.16.840.1.113883.10.20.22.4.53.html', href:'https://hl7.org/cda/us/ccda/Binary-immunization-notgiven-reason-example.html', text:'immunization-notgiven-reason-example' },</v>
      </c>
    </row>
    <row r="259" spans="1:11" x14ac:dyDescent="0.25">
      <c r="A259" t="s">
        <v>1226</v>
      </c>
      <c r="B259" t="s">
        <v>217</v>
      </c>
      <c r="C259">
        <f t="shared" ref="C259:C322" si="24">FIND("root=",B259,1)</f>
        <v>13</v>
      </c>
      <c r="D259">
        <f t="shared" ref="D259:D322" si="25">FIND("extension",B259,1)</f>
        <v>53</v>
      </c>
      <c r="E259">
        <f t="shared" ref="E259:E322" si="26">IF(ISERR(D259),100,D259)</f>
        <v>53</v>
      </c>
      <c r="F259" t="s">
        <v>490</v>
      </c>
      <c r="G259">
        <f t="shared" ref="G259:G322" si="27">FIND("/",F259,1)</f>
        <v>33</v>
      </c>
      <c r="H259" t="s">
        <v>733</v>
      </c>
      <c r="I259" t="str">
        <f t="shared" ref="I259:I322" si="28">"https://hl7.org/cda/us/ccda/Binary-"&amp;A259&amp;".html"</f>
        <v>https://hl7.org/cda/us/ccda/Binary-immunizations-section-example.html</v>
      </c>
      <c r="J259" t="s">
        <v>1448</v>
      </c>
      <c r="K259" t="str">
        <f t="shared" ref="K259:K322" si="29">"{ file:'"&amp;H259&amp;".html', href:'"&amp;I259&amp;"', text:'"&amp;A259&amp;"' },"</f>
        <v>{ file:'2.16.840.1.113883.10.20.22.2.2.1.html', href:'https://hl7.org/cda/us/ccda/Binary-immunizations-section-example.html', text:'immunizations-section-example' },</v>
      </c>
    </row>
    <row r="260" spans="1:11" x14ac:dyDescent="0.25">
      <c r="A260" t="s">
        <v>1226</v>
      </c>
      <c r="B260" t="s">
        <v>218</v>
      </c>
      <c r="C260">
        <f t="shared" si="24"/>
        <v>16</v>
      </c>
      <c r="D260">
        <f t="shared" si="25"/>
        <v>55</v>
      </c>
      <c r="E260">
        <f t="shared" si="26"/>
        <v>55</v>
      </c>
      <c r="F260" t="s">
        <v>487</v>
      </c>
      <c r="G260">
        <f t="shared" si="27"/>
        <v>32</v>
      </c>
      <c r="H260" t="s">
        <v>730</v>
      </c>
      <c r="I260" t="str">
        <f t="shared" si="28"/>
        <v>https://hl7.org/cda/us/ccda/Binary-immunizations-section-example.html</v>
      </c>
      <c r="J260" t="s">
        <v>1448</v>
      </c>
      <c r="K260" t="str">
        <f t="shared" si="29"/>
        <v>{ file:'2.16.840.1.113883.10.20.22.4.52.html', href:'https://hl7.org/cda/us/ccda/Binary-immunizations-section-example.html', text:'immunizations-section-example' },</v>
      </c>
    </row>
    <row r="261" spans="1:11" x14ac:dyDescent="0.25">
      <c r="A261" t="s">
        <v>1226</v>
      </c>
      <c r="B261" t="s">
        <v>219</v>
      </c>
      <c r="C261">
        <f t="shared" si="24"/>
        <v>16</v>
      </c>
      <c r="D261">
        <f t="shared" si="25"/>
        <v>55</v>
      </c>
      <c r="E261">
        <f t="shared" si="26"/>
        <v>55</v>
      </c>
      <c r="F261" t="s">
        <v>488</v>
      </c>
      <c r="G261">
        <f t="shared" si="27"/>
        <v>32</v>
      </c>
      <c r="H261" t="s">
        <v>731</v>
      </c>
      <c r="I261" t="str">
        <f t="shared" si="28"/>
        <v>https://hl7.org/cda/us/ccda/Binary-immunizations-section-example.html</v>
      </c>
      <c r="J261" t="s">
        <v>1448</v>
      </c>
      <c r="K261" t="str">
        <f t="shared" si="29"/>
        <v>{ file:'2.16.840.1.113883.10.20.22.4.54.html', href:'https://hl7.org/cda/us/ccda/Binary-immunizations-section-example.html', text:'immunizations-section-example' },</v>
      </c>
    </row>
    <row r="262" spans="1:11" x14ac:dyDescent="0.25">
      <c r="A262" t="s">
        <v>1227</v>
      </c>
      <c r="B262" t="s">
        <v>220</v>
      </c>
      <c r="C262">
        <f t="shared" si="24"/>
        <v>13</v>
      </c>
      <c r="D262">
        <f t="shared" si="25"/>
        <v>53</v>
      </c>
      <c r="E262">
        <f t="shared" si="26"/>
        <v>53</v>
      </c>
      <c r="F262" t="s">
        <v>491</v>
      </c>
      <c r="G262">
        <f t="shared" si="27"/>
        <v>33</v>
      </c>
      <c r="H262" t="s">
        <v>734</v>
      </c>
      <c r="I262" t="str">
        <f t="shared" si="28"/>
        <v>https://hl7.org/cda/us/ccda/Binary-implantable-device-status-observation-example.html</v>
      </c>
      <c r="J262" t="s">
        <v>1449</v>
      </c>
      <c r="K262" t="str">
        <f t="shared" si="29"/>
        <v>{ file:'2.16.840.1.113883.10.20.22.4.305.html', href:'https://hl7.org/cda/us/ccda/Binary-implantable-device-status-observation-example.html', text:'implantable-device-status-observation-example' },</v>
      </c>
    </row>
    <row r="263" spans="1:11" x14ac:dyDescent="0.25">
      <c r="A263" t="s">
        <v>1228</v>
      </c>
      <c r="B263" t="s">
        <v>221</v>
      </c>
      <c r="C263">
        <f t="shared" si="24"/>
        <v>13</v>
      </c>
      <c r="D263">
        <f t="shared" si="25"/>
        <v>52</v>
      </c>
      <c r="E263">
        <f t="shared" si="26"/>
        <v>52</v>
      </c>
      <c r="F263" t="s">
        <v>492</v>
      </c>
      <c r="G263">
        <f t="shared" si="27"/>
        <v>32</v>
      </c>
      <c r="H263" t="s">
        <v>616</v>
      </c>
      <c r="I263" t="str">
        <f t="shared" si="28"/>
        <v>https://hl7.org/cda/us/ccda/Binary-indication-example.html</v>
      </c>
      <c r="J263" t="s">
        <v>1450</v>
      </c>
      <c r="K263" t="str">
        <f t="shared" si="29"/>
        <v>{ file:'2.16.840.1.113883.10.20.22.4.23.html', href:'https://hl7.org/cda/us/ccda/Binary-indication-example.html', text:'indication-example' },</v>
      </c>
    </row>
    <row r="264" spans="1:11" x14ac:dyDescent="0.25">
      <c r="A264" t="s">
        <v>1228</v>
      </c>
      <c r="B264" t="s">
        <v>222</v>
      </c>
      <c r="C264">
        <f t="shared" si="24"/>
        <v>13</v>
      </c>
      <c r="D264">
        <f t="shared" si="25"/>
        <v>52</v>
      </c>
      <c r="E264">
        <f t="shared" si="26"/>
        <v>52</v>
      </c>
      <c r="F264" t="s">
        <v>456</v>
      </c>
      <c r="G264">
        <f t="shared" si="27"/>
        <v>32</v>
      </c>
      <c r="H264" t="s">
        <v>702</v>
      </c>
      <c r="I264" t="str">
        <f t="shared" si="28"/>
        <v>https://hl7.org/cda/us/ccda/Binary-indication-example.html</v>
      </c>
      <c r="J264" t="s">
        <v>1450</v>
      </c>
      <c r="K264" t="str">
        <f t="shared" si="29"/>
        <v>{ file:'2.16.840.1.113883.10.20.22.4.19.html', href:'https://hl7.org/cda/us/ccda/Binary-indication-example.html', text:'indication-example' },</v>
      </c>
    </row>
    <row r="265" spans="1:11" x14ac:dyDescent="0.25">
      <c r="A265" t="s">
        <v>1228</v>
      </c>
      <c r="B265" t="s">
        <v>223</v>
      </c>
      <c r="C265">
        <f t="shared" si="24"/>
        <v>13</v>
      </c>
      <c r="D265" t="e">
        <f t="shared" si="25"/>
        <v>#VALUE!</v>
      </c>
      <c r="E265">
        <f t="shared" si="26"/>
        <v>100</v>
      </c>
      <c r="F265" t="s">
        <v>493</v>
      </c>
      <c r="G265">
        <f t="shared" si="27"/>
        <v>31</v>
      </c>
      <c r="H265" t="s">
        <v>613</v>
      </c>
      <c r="I265" t="str">
        <f t="shared" si="28"/>
        <v>https://hl7.org/cda/us/ccda/Binary-indication-example.html</v>
      </c>
      <c r="J265" t="s">
        <v>1450</v>
      </c>
      <c r="K265" t="str">
        <f t="shared" si="29"/>
        <v>{ file:'2.16.840.1.113883.10.20.22.4.4.html', href:'https://hl7.org/cda/us/ccda/Binary-indication-example.html', text:'indication-example' },</v>
      </c>
    </row>
    <row r="266" spans="1:11" x14ac:dyDescent="0.25">
      <c r="A266" t="s">
        <v>1229</v>
      </c>
      <c r="B266" t="s">
        <v>224</v>
      </c>
      <c r="C266">
        <f t="shared" si="24"/>
        <v>13</v>
      </c>
      <c r="D266">
        <f t="shared" si="25"/>
        <v>53</v>
      </c>
      <c r="E266">
        <f t="shared" si="26"/>
        <v>53</v>
      </c>
      <c r="F266" t="s">
        <v>494</v>
      </c>
      <c r="G266">
        <f t="shared" si="27"/>
        <v>33</v>
      </c>
      <c r="H266" t="s">
        <v>735</v>
      </c>
      <c r="I266" t="str">
        <f t="shared" si="28"/>
        <v>https://hl7.org/cda/us/ccda/Binary-instruction-example.html</v>
      </c>
      <c r="J266" t="s">
        <v>1451</v>
      </c>
      <c r="K266" t="str">
        <f t="shared" si="29"/>
        <v>{ file:'2.16.840.1.113883.10.20.22.4.515.html', href:'https://hl7.org/cda/us/ccda/Binary-instruction-example.html', text:'instruction-example' },</v>
      </c>
    </row>
    <row r="267" spans="1:11" x14ac:dyDescent="0.25">
      <c r="A267" t="s">
        <v>1230</v>
      </c>
      <c r="B267" t="s">
        <v>225</v>
      </c>
      <c r="C267">
        <f t="shared" si="24"/>
        <v>13</v>
      </c>
      <c r="D267">
        <f t="shared" si="25"/>
        <v>52</v>
      </c>
      <c r="E267">
        <f t="shared" si="26"/>
        <v>52</v>
      </c>
      <c r="F267" t="s">
        <v>495</v>
      </c>
      <c r="G267">
        <f t="shared" si="27"/>
        <v>32</v>
      </c>
      <c r="H267" t="s">
        <v>736</v>
      </c>
      <c r="I267" t="str">
        <f t="shared" si="28"/>
        <v>https://hl7.org/cda/us/ccda/Binary-instructions-section-example.html</v>
      </c>
      <c r="J267" t="s">
        <v>1452</v>
      </c>
      <c r="K267" t="str">
        <f t="shared" si="29"/>
        <v>{ file:'2.16.840.1.113883.10.20.22.2.45.html', href:'https://hl7.org/cda/us/ccda/Binary-instructions-section-example.html', text:'instructions-section-example' },</v>
      </c>
    </row>
    <row r="268" spans="1:11" x14ac:dyDescent="0.25">
      <c r="A268" t="s">
        <v>1230</v>
      </c>
      <c r="B268" t="s">
        <v>226</v>
      </c>
      <c r="C268">
        <f t="shared" si="24"/>
        <v>13</v>
      </c>
      <c r="D268">
        <f t="shared" si="25"/>
        <v>52</v>
      </c>
      <c r="E268">
        <f t="shared" si="26"/>
        <v>52</v>
      </c>
      <c r="F268" t="s">
        <v>496</v>
      </c>
      <c r="G268">
        <f t="shared" si="27"/>
        <v>32</v>
      </c>
      <c r="H268" t="s">
        <v>737</v>
      </c>
      <c r="I268" t="str">
        <f t="shared" si="28"/>
        <v>https://hl7.org/cda/us/ccda/Binary-instructions-section-example.html</v>
      </c>
      <c r="J268" t="s">
        <v>1452</v>
      </c>
      <c r="K268" t="str">
        <f t="shared" si="29"/>
        <v>{ file:'2.16.840.1.113883.10.20.22.4.20.html', href:'https://hl7.org/cda/us/ccda/Binary-instructions-section-example.html', text:'instructions-section-example' },</v>
      </c>
    </row>
    <row r="269" spans="1:11" x14ac:dyDescent="0.25">
      <c r="A269" t="s">
        <v>1231</v>
      </c>
      <c r="B269" t="s">
        <v>227</v>
      </c>
      <c r="C269">
        <f t="shared" si="24"/>
        <v>13</v>
      </c>
      <c r="D269">
        <f t="shared" si="25"/>
        <v>53</v>
      </c>
      <c r="E269">
        <f t="shared" si="26"/>
        <v>53</v>
      </c>
      <c r="F269" t="s">
        <v>497</v>
      </c>
      <c r="G269">
        <f t="shared" si="27"/>
        <v>33</v>
      </c>
      <c r="H269" t="s">
        <v>738</v>
      </c>
      <c r="I269" t="str">
        <f t="shared" si="28"/>
        <v>https://hl7.org/cda/us/ccda/Binary-intervention-act-moodcodeint-example.html</v>
      </c>
      <c r="J269" t="s">
        <v>1453</v>
      </c>
      <c r="K269" t="str">
        <f t="shared" si="29"/>
        <v>{ file:'2.16.840.1.113883.10.20.22.4.131.html', href:'https://hl7.org/cda/us/ccda/Binary-intervention-act-moodcodeint-example.html', text:'intervention-act-moodcodeint-example' },</v>
      </c>
    </row>
    <row r="270" spans="1:11" x14ac:dyDescent="0.25">
      <c r="A270" t="s">
        <v>1231</v>
      </c>
      <c r="B270" t="s">
        <v>228</v>
      </c>
      <c r="C270">
        <f t="shared" si="24"/>
        <v>13</v>
      </c>
      <c r="D270">
        <f t="shared" si="25"/>
        <v>52</v>
      </c>
      <c r="E270">
        <f t="shared" si="26"/>
        <v>52</v>
      </c>
      <c r="F270" t="s">
        <v>385</v>
      </c>
      <c r="G270">
        <f t="shared" si="27"/>
        <v>32</v>
      </c>
      <c r="H270" t="s">
        <v>632</v>
      </c>
      <c r="I270" t="str">
        <f t="shared" si="28"/>
        <v>https://hl7.org/cda/us/ccda/Binary-intervention-act-moodcodeint-example.html</v>
      </c>
      <c r="J270" t="s">
        <v>1453</v>
      </c>
      <c r="K270" t="str">
        <f t="shared" si="29"/>
        <v>{ file:'2.16.840.1.113883.10.20.22.4.14.html', href:'https://hl7.org/cda/us/ccda/Binary-intervention-act-moodcodeint-example.html', text:'intervention-act-moodcodeint-example' },</v>
      </c>
    </row>
    <row r="271" spans="1:11" x14ac:dyDescent="0.25">
      <c r="A271" t="s">
        <v>1231</v>
      </c>
      <c r="B271" t="s">
        <v>173</v>
      </c>
      <c r="C271">
        <f t="shared" si="24"/>
        <v>13</v>
      </c>
      <c r="D271" t="e">
        <f t="shared" si="25"/>
        <v>#VALUE!</v>
      </c>
      <c r="E271">
        <f t="shared" si="26"/>
        <v>100</v>
      </c>
      <c r="F271" t="s">
        <v>441</v>
      </c>
      <c r="G271">
        <f t="shared" si="27"/>
        <v>33</v>
      </c>
      <c r="H271" t="s">
        <v>687</v>
      </c>
      <c r="I271" t="str">
        <f t="shared" si="28"/>
        <v>https://hl7.org/cda/us/ccda/Binary-intervention-act-moodcodeint-example.html</v>
      </c>
      <c r="J271" t="s">
        <v>1453</v>
      </c>
      <c r="K271" t="str">
        <f t="shared" si="29"/>
        <v>{ file:'2.16.840.1.113883.10.20.22.4.122.html', href:'https://hl7.org/cda/us/ccda/Binary-intervention-act-moodcodeint-example.html', text:'intervention-act-moodcodeint-example' },</v>
      </c>
    </row>
    <row r="272" spans="1:11" x14ac:dyDescent="0.25">
      <c r="A272" t="s">
        <v>1231</v>
      </c>
      <c r="B272" t="s">
        <v>229</v>
      </c>
      <c r="C272">
        <f t="shared" si="24"/>
        <v>13</v>
      </c>
      <c r="D272">
        <f t="shared" si="25"/>
        <v>53</v>
      </c>
      <c r="E272">
        <f t="shared" si="26"/>
        <v>53</v>
      </c>
      <c r="F272" t="s">
        <v>474</v>
      </c>
      <c r="G272">
        <f t="shared" si="27"/>
        <v>33</v>
      </c>
      <c r="H272" t="s">
        <v>718</v>
      </c>
      <c r="I272" t="str">
        <f t="shared" si="28"/>
        <v>https://hl7.org/cda/us/ccda/Binary-intervention-act-moodcodeint-example.html</v>
      </c>
      <c r="J272" t="s">
        <v>1453</v>
      </c>
      <c r="K272" t="str">
        <f t="shared" si="29"/>
        <v>{ file:'2.16.840.1.113883.10.20.22.4.121.html', href:'https://hl7.org/cda/us/ccda/Binary-intervention-act-moodcodeint-example.html', text:'intervention-act-moodcodeint-example' },</v>
      </c>
    </row>
    <row r="273" spans="1:11" x14ac:dyDescent="0.25">
      <c r="A273" t="s">
        <v>1232</v>
      </c>
      <c r="B273" t="s">
        <v>230</v>
      </c>
      <c r="C273">
        <f t="shared" si="24"/>
        <v>13</v>
      </c>
      <c r="D273" t="e">
        <f t="shared" si="25"/>
        <v>#VALUE!</v>
      </c>
      <c r="E273">
        <f t="shared" si="26"/>
        <v>100</v>
      </c>
      <c r="F273" t="s">
        <v>498</v>
      </c>
      <c r="G273">
        <f t="shared" si="27"/>
        <v>33</v>
      </c>
      <c r="H273" t="s">
        <v>739</v>
      </c>
      <c r="I273" t="str">
        <f t="shared" si="28"/>
        <v>https://hl7.org/cda/us/ccda/Binary-latex-safety-observation-example.html</v>
      </c>
      <c r="J273" t="s">
        <v>1454</v>
      </c>
      <c r="K273" t="str">
        <f t="shared" si="29"/>
        <v>{ file:'2.16.840.1.113883.10.20.22.4.314.html', href:'https://hl7.org/cda/us/ccda/Binary-latex-safety-observation-example.html', text:'latex-safety-observation-example' },</v>
      </c>
    </row>
    <row r="274" spans="1:11" x14ac:dyDescent="0.25">
      <c r="A274" t="s">
        <v>1233</v>
      </c>
      <c r="B274" t="s">
        <v>231</v>
      </c>
      <c r="C274">
        <f t="shared" si="24"/>
        <v>13</v>
      </c>
      <c r="D274">
        <f t="shared" si="25"/>
        <v>53</v>
      </c>
      <c r="E274">
        <f t="shared" si="26"/>
        <v>53</v>
      </c>
      <c r="F274" t="s">
        <v>499</v>
      </c>
      <c r="G274">
        <f t="shared" si="27"/>
        <v>33</v>
      </c>
      <c r="H274" t="s">
        <v>740</v>
      </c>
      <c r="I274" t="str">
        <f t="shared" si="28"/>
        <v>https://hl7.org/cda/us/ccda/Binary-longitudinal-care-wound-observation-example.html</v>
      </c>
      <c r="J274" t="s">
        <v>1455</v>
      </c>
      <c r="K274" t="str">
        <f t="shared" si="29"/>
        <v>{ file:'2.16.840.1.113883.10.20.22.4.114.html', href:'https://hl7.org/cda/us/ccda/Binary-longitudinal-care-wound-observation-example.html', text:'longitudinal-care-wound-observation-example' },</v>
      </c>
    </row>
    <row r="275" spans="1:11" x14ac:dyDescent="0.25">
      <c r="A275" t="s">
        <v>1233</v>
      </c>
      <c r="B275" t="s">
        <v>117</v>
      </c>
      <c r="C275">
        <f t="shared" si="24"/>
        <v>13</v>
      </c>
      <c r="D275">
        <f t="shared" si="25"/>
        <v>51</v>
      </c>
      <c r="E275">
        <f t="shared" si="26"/>
        <v>51</v>
      </c>
      <c r="F275" t="s">
        <v>365</v>
      </c>
      <c r="G275">
        <f t="shared" si="27"/>
        <v>31</v>
      </c>
      <c r="H275" t="s">
        <v>613</v>
      </c>
      <c r="I275" t="str">
        <f t="shared" si="28"/>
        <v>https://hl7.org/cda/us/ccda/Binary-longitudinal-care-wound-observation-example.html</v>
      </c>
      <c r="J275" t="s">
        <v>1455</v>
      </c>
      <c r="K275" t="str">
        <f t="shared" si="29"/>
        <v>{ file:'2.16.840.1.113883.10.20.22.4.4.html', href:'https://hl7.org/cda/us/ccda/Binary-longitudinal-care-wound-observation-example.html', text:'longitudinal-care-wound-observation-example' },</v>
      </c>
    </row>
    <row r="276" spans="1:11" x14ac:dyDescent="0.25">
      <c r="A276" t="s">
        <v>1234</v>
      </c>
      <c r="B276" t="s">
        <v>232</v>
      </c>
      <c r="C276">
        <f t="shared" si="24"/>
        <v>13</v>
      </c>
      <c r="D276">
        <f t="shared" si="25"/>
        <v>53</v>
      </c>
      <c r="E276">
        <f t="shared" si="26"/>
        <v>53</v>
      </c>
      <c r="F276" t="s">
        <v>500</v>
      </c>
      <c r="G276">
        <f t="shared" si="27"/>
        <v>33</v>
      </c>
      <c r="H276" t="s">
        <v>741</v>
      </c>
      <c r="I276" t="str">
        <f t="shared" si="28"/>
        <v>https://hl7.org/cda/us/ccda/Binary-lot-or-batch-number-observation-example.html</v>
      </c>
      <c r="J276" t="s">
        <v>1456</v>
      </c>
      <c r="K276" t="str">
        <f t="shared" si="29"/>
        <v>{ file:'2.16.840.1.113883.10.20.22.4.315.html', href:'https://hl7.org/cda/us/ccda/Binary-lot-or-batch-number-observation-example.html', text:'lot-or-batch-number-observation-example' },</v>
      </c>
    </row>
    <row r="277" spans="1:11" x14ac:dyDescent="0.25">
      <c r="A277" t="s">
        <v>1235</v>
      </c>
      <c r="B277" t="s">
        <v>233</v>
      </c>
      <c r="C277">
        <f t="shared" si="24"/>
        <v>13</v>
      </c>
      <c r="D277">
        <f t="shared" si="25"/>
        <v>53</v>
      </c>
      <c r="E277">
        <f t="shared" si="26"/>
        <v>53</v>
      </c>
      <c r="F277" t="s">
        <v>501</v>
      </c>
      <c r="G277">
        <f t="shared" si="27"/>
        <v>33</v>
      </c>
      <c r="H277" t="s">
        <v>742</v>
      </c>
      <c r="I277" t="str">
        <f t="shared" si="28"/>
        <v>https://hl7.org/cda/us/ccda/Binary-manufacturing-date-observation-example.html</v>
      </c>
      <c r="J277" t="s">
        <v>1457</v>
      </c>
      <c r="K277" t="str">
        <f t="shared" si="29"/>
        <v>{ file:'2.16.840.1.113883.10.20.22.4.316.html', href:'https://hl7.org/cda/us/ccda/Binary-manufacturing-date-observation-example.html', text:'manufacturing-date-observation-example' },</v>
      </c>
    </row>
    <row r="278" spans="1:11" x14ac:dyDescent="0.25">
      <c r="A278" t="s">
        <v>1236</v>
      </c>
      <c r="B278" t="s">
        <v>234</v>
      </c>
      <c r="C278">
        <f t="shared" si="24"/>
        <v>13</v>
      </c>
      <c r="D278" t="e">
        <f t="shared" si="25"/>
        <v>#VALUE!</v>
      </c>
      <c r="E278">
        <f t="shared" si="26"/>
        <v>100</v>
      </c>
      <c r="F278" t="s">
        <v>502</v>
      </c>
      <c r="G278">
        <f t="shared" si="27"/>
        <v>33</v>
      </c>
      <c r="H278" t="s">
        <v>743</v>
      </c>
      <c r="I278" t="str">
        <f t="shared" si="28"/>
        <v>https://hl7.org/cda/us/ccda/Binary-medical-equipment-organizer-example.html</v>
      </c>
      <c r="J278" t="s">
        <v>1458</v>
      </c>
      <c r="K278" t="str">
        <f t="shared" si="29"/>
        <v>{ file:'2.16.840.1.113883.10.20.22.4.135.html', href:'https://hl7.org/cda/us/ccda/Binary-medical-equipment-organizer-example.html', text:'medical-equipment-organizer-example' },</v>
      </c>
    </row>
    <row r="279" spans="1:11" x14ac:dyDescent="0.25">
      <c r="A279" t="s">
        <v>1236</v>
      </c>
      <c r="B279" t="s">
        <v>235</v>
      </c>
      <c r="C279">
        <f t="shared" si="24"/>
        <v>13</v>
      </c>
      <c r="D279">
        <f t="shared" si="25"/>
        <v>52</v>
      </c>
      <c r="E279">
        <f t="shared" si="26"/>
        <v>52</v>
      </c>
      <c r="F279" t="s">
        <v>503</v>
      </c>
      <c r="G279">
        <f t="shared" si="27"/>
        <v>32</v>
      </c>
      <c r="H279" t="s">
        <v>744</v>
      </c>
      <c r="I279" t="str">
        <f t="shared" si="28"/>
        <v>https://hl7.org/cda/us/ccda/Binary-medical-equipment-organizer-example.html</v>
      </c>
      <c r="J279" t="s">
        <v>1458</v>
      </c>
      <c r="K279" t="str">
        <f t="shared" si="29"/>
        <v>{ file:'2.16.840.1.113883.10.20.22.4.50.html', href:'https://hl7.org/cda/us/ccda/Binary-medical-equipment-organizer-example.html', text:'medical-equipment-organizer-example' },</v>
      </c>
    </row>
    <row r="280" spans="1:11" x14ac:dyDescent="0.25">
      <c r="A280" t="s">
        <v>1237</v>
      </c>
      <c r="B280" t="s">
        <v>236</v>
      </c>
      <c r="C280">
        <f t="shared" si="24"/>
        <v>13</v>
      </c>
      <c r="D280">
        <f t="shared" si="25"/>
        <v>52</v>
      </c>
      <c r="E280">
        <f t="shared" si="26"/>
        <v>52</v>
      </c>
      <c r="F280" t="s">
        <v>504</v>
      </c>
      <c r="G280">
        <f t="shared" si="27"/>
        <v>32</v>
      </c>
      <c r="H280" t="s">
        <v>745</v>
      </c>
      <c r="I280" t="str">
        <f t="shared" si="28"/>
        <v>https://hl7.org/cda/us/ccda/Binary-medical-equipment-section-example.html</v>
      </c>
      <c r="J280" t="s">
        <v>1459</v>
      </c>
      <c r="K280" t="str">
        <f t="shared" si="29"/>
        <v>{ file:'2.16.840.1.113883.10.20.22.2.23.html', href:'https://hl7.org/cda/us/ccda/Binary-medical-equipment-section-example.html', text:'medical-equipment-section-example' },</v>
      </c>
    </row>
    <row r="281" spans="1:11" x14ac:dyDescent="0.25">
      <c r="A281" t="s">
        <v>1237</v>
      </c>
      <c r="B281" t="s">
        <v>235</v>
      </c>
      <c r="C281">
        <f t="shared" si="24"/>
        <v>13</v>
      </c>
      <c r="D281">
        <f t="shared" si="25"/>
        <v>52</v>
      </c>
      <c r="E281">
        <f t="shared" si="26"/>
        <v>52</v>
      </c>
      <c r="F281" t="s">
        <v>503</v>
      </c>
      <c r="G281">
        <f t="shared" si="27"/>
        <v>32</v>
      </c>
      <c r="H281" t="s">
        <v>744</v>
      </c>
      <c r="I281" t="str">
        <f t="shared" si="28"/>
        <v>https://hl7.org/cda/us/ccda/Binary-medical-equipment-section-example.html</v>
      </c>
      <c r="J281" t="s">
        <v>1459</v>
      </c>
      <c r="K281" t="str">
        <f t="shared" si="29"/>
        <v>{ file:'2.16.840.1.113883.10.20.22.4.50.html', href:'https://hl7.org/cda/us/ccda/Binary-medical-equipment-section-example.html', text:'medical-equipment-section-example' },</v>
      </c>
    </row>
    <row r="282" spans="1:11" x14ac:dyDescent="0.25">
      <c r="A282" t="s">
        <v>1237</v>
      </c>
      <c r="B282" t="s">
        <v>237</v>
      </c>
      <c r="C282">
        <f t="shared" si="24"/>
        <v>13</v>
      </c>
      <c r="D282" t="e">
        <f t="shared" si="25"/>
        <v>#VALUE!</v>
      </c>
      <c r="E282">
        <f t="shared" si="26"/>
        <v>100</v>
      </c>
      <c r="F282" t="s">
        <v>505</v>
      </c>
      <c r="G282">
        <f t="shared" si="27"/>
        <v>32</v>
      </c>
      <c r="H282" t="s">
        <v>746</v>
      </c>
      <c r="I282" t="str">
        <f t="shared" si="28"/>
        <v>https://hl7.org/cda/us/ccda/Binary-medical-equipment-section-example.html</v>
      </c>
      <c r="J282" t="s">
        <v>1459</v>
      </c>
      <c r="K282" t="str">
        <f t="shared" si="29"/>
        <v>{ file:'2.16.840.1.113883.10.20.22.4.37.html', href:'https://hl7.org/cda/us/ccda/Binary-medical-equipment-section-example.html', text:'medical-equipment-section-example' },</v>
      </c>
    </row>
    <row r="283" spans="1:11" x14ac:dyDescent="0.25">
      <c r="A283" t="s">
        <v>1238</v>
      </c>
      <c r="B283" t="s">
        <v>119</v>
      </c>
      <c r="C283">
        <f t="shared" si="24"/>
        <v>13</v>
      </c>
      <c r="D283" t="e">
        <f t="shared" si="25"/>
        <v>#VALUE!</v>
      </c>
      <c r="E283">
        <f t="shared" si="26"/>
        <v>100</v>
      </c>
      <c r="F283" t="s">
        <v>367</v>
      </c>
      <c r="G283">
        <f t="shared" si="27"/>
        <v>32</v>
      </c>
      <c r="H283" t="s">
        <v>615</v>
      </c>
      <c r="I283" t="str">
        <f t="shared" si="28"/>
        <v>https://hl7.org/cda/us/ccda/Binary-medication-activity-example.html</v>
      </c>
      <c r="J283" t="s">
        <v>1460</v>
      </c>
      <c r="K283" t="str">
        <f t="shared" si="29"/>
        <v>{ file:'2.16.840.1.113883.10.20.22.4.16.html', href:'https://hl7.org/cda/us/ccda/Binary-medication-activity-example.html', text:'medication-activity-example' },</v>
      </c>
    </row>
    <row r="284" spans="1:11" x14ac:dyDescent="0.25">
      <c r="A284" t="s">
        <v>1238</v>
      </c>
      <c r="B284" t="s">
        <v>120</v>
      </c>
      <c r="C284">
        <f t="shared" si="24"/>
        <v>13</v>
      </c>
      <c r="D284" t="e">
        <f t="shared" si="25"/>
        <v>#VALUE!</v>
      </c>
      <c r="E284">
        <f t="shared" si="26"/>
        <v>100</v>
      </c>
      <c r="F284" t="s">
        <v>368</v>
      </c>
      <c r="G284">
        <f t="shared" si="27"/>
        <v>32</v>
      </c>
      <c r="H284" t="s">
        <v>616</v>
      </c>
      <c r="I284" t="str">
        <f t="shared" si="28"/>
        <v>https://hl7.org/cda/us/ccda/Binary-medication-activity-example.html</v>
      </c>
      <c r="J284" t="s">
        <v>1460</v>
      </c>
      <c r="K284" t="str">
        <f t="shared" si="29"/>
        <v>{ file:'2.16.840.1.113883.10.20.22.4.23.html', href:'https://hl7.org/cda/us/ccda/Binary-medication-activity-example.html', text:'medication-activity-example' },</v>
      </c>
    </row>
    <row r="285" spans="1:11" x14ac:dyDescent="0.25">
      <c r="A285" t="s">
        <v>1238</v>
      </c>
      <c r="B285" t="s">
        <v>124</v>
      </c>
      <c r="C285">
        <f t="shared" si="24"/>
        <v>13</v>
      </c>
      <c r="D285" t="e">
        <f t="shared" si="25"/>
        <v>#VALUE!</v>
      </c>
      <c r="E285">
        <f t="shared" si="26"/>
        <v>100</v>
      </c>
      <c r="F285" t="s">
        <v>372</v>
      </c>
      <c r="G285">
        <f t="shared" si="27"/>
        <v>33</v>
      </c>
      <c r="H285" t="s">
        <v>620</v>
      </c>
      <c r="I285" t="str">
        <f t="shared" si="28"/>
        <v>https://hl7.org/cda/us/ccda/Binary-medication-activity-example.html</v>
      </c>
      <c r="J285" t="s">
        <v>1460</v>
      </c>
      <c r="K285" t="str">
        <f t="shared" si="29"/>
        <v>{ file:'2.16.840.1.113883.10.20.22.4.119.html', href:'https://hl7.org/cda/us/ccda/Binary-medication-activity-example.html', text:'medication-activity-example' },</v>
      </c>
    </row>
    <row r="286" spans="1:11" x14ac:dyDescent="0.25">
      <c r="A286" t="s">
        <v>1238</v>
      </c>
      <c r="B286" t="s">
        <v>238</v>
      </c>
      <c r="C286">
        <f t="shared" si="24"/>
        <v>13</v>
      </c>
      <c r="D286" t="e">
        <f t="shared" si="25"/>
        <v>#VALUE!</v>
      </c>
      <c r="E286">
        <f t="shared" si="26"/>
        <v>100</v>
      </c>
      <c r="F286" t="s">
        <v>506</v>
      </c>
      <c r="G286">
        <f t="shared" si="27"/>
        <v>32</v>
      </c>
      <c r="H286" t="s">
        <v>702</v>
      </c>
      <c r="I286" t="str">
        <f t="shared" si="28"/>
        <v>https://hl7.org/cda/us/ccda/Binary-medication-activity-example.html</v>
      </c>
      <c r="J286" t="s">
        <v>1460</v>
      </c>
      <c r="K286" t="str">
        <f t="shared" si="29"/>
        <v>{ file:'2.16.840.1.113883.10.20.22.4.19.html', href:'https://hl7.org/cda/us/ccda/Binary-medication-activity-example.html', text:'medication-activity-example' },</v>
      </c>
    </row>
    <row r="287" spans="1:11" x14ac:dyDescent="0.25">
      <c r="A287" t="s">
        <v>1239</v>
      </c>
      <c r="B287" t="s">
        <v>239</v>
      </c>
      <c r="C287">
        <f t="shared" si="24"/>
        <v>13</v>
      </c>
      <c r="D287">
        <f t="shared" si="25"/>
        <v>53</v>
      </c>
      <c r="E287">
        <f t="shared" si="26"/>
        <v>53</v>
      </c>
      <c r="F287" t="s">
        <v>507</v>
      </c>
      <c r="G287">
        <f t="shared" si="27"/>
        <v>33</v>
      </c>
      <c r="H287" t="s">
        <v>747</v>
      </c>
      <c r="I287" t="str">
        <f t="shared" si="28"/>
        <v>https://hl7.org/cda/us/ccda/Binary-medication-adherence-example.html</v>
      </c>
      <c r="J287" t="s">
        <v>1461</v>
      </c>
      <c r="K287" t="str">
        <f t="shared" si="29"/>
        <v>{ file:'2.16.840.1.113883.10.20.22.4.508.html', href:'https://hl7.org/cda/us/ccda/Binary-medication-adherence-example.html', text:'medication-adherence-example' },</v>
      </c>
    </row>
    <row r="288" spans="1:11" x14ac:dyDescent="0.25">
      <c r="A288" t="s">
        <v>1240</v>
      </c>
      <c r="B288" t="s">
        <v>239</v>
      </c>
      <c r="C288">
        <f t="shared" si="24"/>
        <v>13</v>
      </c>
      <c r="D288">
        <f t="shared" si="25"/>
        <v>53</v>
      </c>
      <c r="E288">
        <f t="shared" si="26"/>
        <v>53</v>
      </c>
      <c r="F288" t="s">
        <v>507</v>
      </c>
      <c r="G288">
        <f t="shared" si="27"/>
        <v>33</v>
      </c>
      <c r="H288" t="s">
        <v>747</v>
      </c>
      <c r="I288" t="str">
        <f t="shared" si="28"/>
        <v>https://hl7.org/cda/us/ccda/Binary-medication-adherence-nullflavor-example.html</v>
      </c>
      <c r="J288" t="s">
        <v>1462</v>
      </c>
      <c r="K288" t="str">
        <f t="shared" si="29"/>
        <v>{ file:'2.16.840.1.113883.10.20.22.4.508.html', href:'https://hl7.org/cda/us/ccda/Binary-medication-adherence-nullflavor-example.html', text:'medication-adherence-nullflavor-example' },</v>
      </c>
    </row>
    <row r="289" spans="1:11" x14ac:dyDescent="0.25">
      <c r="A289" t="s">
        <v>1241</v>
      </c>
      <c r="B289" t="s">
        <v>240</v>
      </c>
      <c r="C289">
        <f t="shared" si="24"/>
        <v>13</v>
      </c>
      <c r="D289">
        <f t="shared" si="25"/>
        <v>52</v>
      </c>
      <c r="E289">
        <f t="shared" si="26"/>
        <v>52</v>
      </c>
      <c r="F289" t="s">
        <v>508</v>
      </c>
      <c r="G289">
        <f t="shared" si="27"/>
        <v>32</v>
      </c>
      <c r="H289" t="s">
        <v>748</v>
      </c>
      <c r="I289" t="str">
        <f t="shared" si="28"/>
        <v>https://hl7.org/cda/us/ccda/Binary-medication-dispense-example.html</v>
      </c>
      <c r="J289" t="s">
        <v>1463</v>
      </c>
      <c r="K289" t="str">
        <f t="shared" si="29"/>
        <v>{ file:'2.16.840.1.113883.10.20.22.4.18.html', href:'https://hl7.org/cda/us/ccda/Binary-medication-dispense-example.html', text:'medication-dispense-example' },</v>
      </c>
    </row>
    <row r="290" spans="1:11" x14ac:dyDescent="0.25">
      <c r="A290" t="s">
        <v>1241</v>
      </c>
      <c r="B290" t="s">
        <v>241</v>
      </c>
      <c r="C290">
        <f t="shared" si="24"/>
        <v>16</v>
      </c>
      <c r="D290">
        <f t="shared" si="25"/>
        <v>55</v>
      </c>
      <c r="E290">
        <f t="shared" si="26"/>
        <v>55</v>
      </c>
      <c r="F290" t="s">
        <v>492</v>
      </c>
      <c r="G290">
        <f t="shared" si="27"/>
        <v>32</v>
      </c>
      <c r="H290" t="s">
        <v>616</v>
      </c>
      <c r="I290" t="str">
        <f t="shared" si="28"/>
        <v>https://hl7.org/cda/us/ccda/Binary-medication-dispense-example.html</v>
      </c>
      <c r="J290" t="s">
        <v>1463</v>
      </c>
      <c r="K290" t="str">
        <f t="shared" si="29"/>
        <v>{ file:'2.16.840.1.113883.10.20.22.4.23.html', href:'https://hl7.org/cda/us/ccda/Binary-medication-dispense-example.html', text:'medication-dispense-example' },</v>
      </c>
    </row>
    <row r="291" spans="1:11" x14ac:dyDescent="0.25">
      <c r="A291" t="s">
        <v>1242</v>
      </c>
      <c r="B291" t="s">
        <v>242</v>
      </c>
      <c r="C291">
        <f t="shared" si="24"/>
        <v>13</v>
      </c>
      <c r="D291" t="e">
        <f t="shared" si="25"/>
        <v>#VALUE!</v>
      </c>
      <c r="E291">
        <f t="shared" si="26"/>
        <v>100</v>
      </c>
      <c r="F291" t="s">
        <v>509</v>
      </c>
      <c r="G291">
        <f t="shared" si="27"/>
        <v>33</v>
      </c>
      <c r="H291" t="s">
        <v>749</v>
      </c>
      <c r="I291" t="str">
        <f t="shared" si="28"/>
        <v>https://hl7.org/cda/us/ccda/Binary-medication-free-text-sig-example.html</v>
      </c>
      <c r="J291" t="s">
        <v>1464</v>
      </c>
      <c r="K291" t="str">
        <f t="shared" si="29"/>
        <v>{ file:'2.16.840.1.113883.10.20.22.4.147.html', href:'https://hl7.org/cda/us/ccda/Binary-medication-free-text-sig-example.html', text:'medication-free-text-sig-example' },</v>
      </c>
    </row>
    <row r="292" spans="1:11" x14ac:dyDescent="0.25">
      <c r="A292" t="s">
        <v>1243</v>
      </c>
      <c r="B292" t="s">
        <v>221</v>
      </c>
      <c r="C292">
        <f t="shared" si="24"/>
        <v>13</v>
      </c>
      <c r="D292">
        <f t="shared" si="25"/>
        <v>52</v>
      </c>
      <c r="E292">
        <f t="shared" si="26"/>
        <v>52</v>
      </c>
      <c r="F292" t="s">
        <v>492</v>
      </c>
      <c r="G292">
        <f t="shared" si="27"/>
        <v>32</v>
      </c>
      <c r="H292" t="s">
        <v>616</v>
      </c>
      <c r="I292" t="str">
        <f t="shared" si="28"/>
        <v>https://hl7.org/cda/us/ccda/Binary-medication-information-example.html</v>
      </c>
      <c r="J292" t="s">
        <v>1465</v>
      </c>
      <c r="K292" t="str">
        <f t="shared" si="29"/>
        <v>{ file:'2.16.840.1.113883.10.20.22.4.23.html', href:'https://hl7.org/cda/us/ccda/Binary-medication-information-example.html', text:'medication-information-example' },</v>
      </c>
    </row>
    <row r="293" spans="1:11" x14ac:dyDescent="0.25">
      <c r="A293" t="s">
        <v>1244</v>
      </c>
      <c r="B293" t="s">
        <v>243</v>
      </c>
      <c r="C293">
        <f t="shared" si="24"/>
        <v>13</v>
      </c>
      <c r="D293">
        <f t="shared" si="25"/>
        <v>52</v>
      </c>
      <c r="E293">
        <f t="shared" si="26"/>
        <v>52</v>
      </c>
      <c r="F293" t="s">
        <v>510</v>
      </c>
      <c r="G293">
        <f t="shared" si="27"/>
        <v>32</v>
      </c>
      <c r="H293" t="s">
        <v>750</v>
      </c>
      <c r="I293" t="str">
        <f t="shared" si="28"/>
        <v>https://hl7.org/cda/us/ccda/Binary-medication-supply-order-example.html</v>
      </c>
      <c r="J293" t="s">
        <v>1466</v>
      </c>
      <c r="K293" t="str">
        <f t="shared" si="29"/>
        <v>{ file:'2.16.840.1.113883.10.20.22.4.17.html', href:'https://hl7.org/cda/us/ccda/Binary-medication-supply-order-example.html', text:'medication-supply-order-example' },</v>
      </c>
    </row>
    <row r="294" spans="1:11" x14ac:dyDescent="0.25">
      <c r="A294" t="s">
        <v>1244</v>
      </c>
      <c r="B294" t="s">
        <v>241</v>
      </c>
      <c r="C294">
        <f t="shared" si="24"/>
        <v>16</v>
      </c>
      <c r="D294">
        <f t="shared" si="25"/>
        <v>55</v>
      </c>
      <c r="E294">
        <f t="shared" si="26"/>
        <v>55</v>
      </c>
      <c r="F294" t="s">
        <v>492</v>
      </c>
      <c r="G294">
        <f t="shared" si="27"/>
        <v>32</v>
      </c>
      <c r="H294" t="s">
        <v>616</v>
      </c>
      <c r="I294" t="str">
        <f t="shared" si="28"/>
        <v>https://hl7.org/cda/us/ccda/Binary-medication-supply-order-example.html</v>
      </c>
      <c r="J294" t="s">
        <v>1466</v>
      </c>
      <c r="K294" t="str">
        <f t="shared" si="29"/>
        <v>{ file:'2.16.840.1.113883.10.20.22.4.23.html', href:'https://hl7.org/cda/us/ccda/Binary-medication-supply-order-example.html', text:'medication-supply-order-example' },</v>
      </c>
    </row>
    <row r="295" spans="1:11" x14ac:dyDescent="0.25">
      <c r="A295" t="s">
        <v>1244</v>
      </c>
      <c r="B295" t="s">
        <v>244</v>
      </c>
      <c r="C295">
        <f t="shared" si="24"/>
        <v>16</v>
      </c>
      <c r="D295">
        <f t="shared" si="25"/>
        <v>56</v>
      </c>
      <c r="E295">
        <f t="shared" si="26"/>
        <v>56</v>
      </c>
      <c r="F295" t="s">
        <v>494</v>
      </c>
      <c r="G295">
        <f t="shared" si="27"/>
        <v>33</v>
      </c>
      <c r="H295" t="s">
        <v>735</v>
      </c>
      <c r="I295" t="str">
        <f t="shared" si="28"/>
        <v>https://hl7.org/cda/us/ccda/Binary-medication-supply-order-example.html</v>
      </c>
      <c r="J295" t="s">
        <v>1466</v>
      </c>
      <c r="K295" t="str">
        <f t="shared" si="29"/>
        <v>{ file:'2.16.840.1.113883.10.20.22.4.515.html', href:'https://hl7.org/cda/us/ccda/Binary-medication-supply-order-example.html', text:'medication-supply-order-example' },</v>
      </c>
    </row>
    <row r="296" spans="1:11" x14ac:dyDescent="0.25">
      <c r="A296" t="s">
        <v>1245</v>
      </c>
      <c r="B296" t="s">
        <v>245</v>
      </c>
      <c r="C296">
        <f t="shared" si="24"/>
        <v>13</v>
      </c>
      <c r="D296">
        <f t="shared" si="25"/>
        <v>52</v>
      </c>
      <c r="E296">
        <f t="shared" si="26"/>
        <v>52</v>
      </c>
      <c r="F296" t="s">
        <v>511</v>
      </c>
      <c r="G296">
        <f t="shared" si="27"/>
        <v>32</v>
      </c>
      <c r="H296" t="s">
        <v>751</v>
      </c>
      <c r="I296" t="str">
        <f t="shared" si="28"/>
        <v>https://hl7.org/cda/us/ccda/Binary-medications-administered-section-example.html</v>
      </c>
      <c r="J296" t="s">
        <v>1467</v>
      </c>
      <c r="K296" t="str">
        <f t="shared" si="29"/>
        <v>{ file:'2.16.840.1.113883.10.20.22.2.38.html', href:'https://hl7.org/cda/us/ccda/Binary-medications-administered-section-example.html', text:'medications-administered-section-example' },</v>
      </c>
    </row>
    <row r="297" spans="1:11" x14ac:dyDescent="0.25">
      <c r="A297" t="s">
        <v>1245</v>
      </c>
      <c r="B297" t="s">
        <v>140</v>
      </c>
      <c r="C297">
        <f t="shared" si="24"/>
        <v>13</v>
      </c>
      <c r="D297">
        <f t="shared" si="25"/>
        <v>52</v>
      </c>
      <c r="E297">
        <f t="shared" si="26"/>
        <v>52</v>
      </c>
      <c r="F297" t="s">
        <v>386</v>
      </c>
      <c r="G297">
        <f t="shared" si="27"/>
        <v>32</v>
      </c>
      <c r="H297" t="s">
        <v>615</v>
      </c>
      <c r="I297" t="str">
        <f t="shared" si="28"/>
        <v>https://hl7.org/cda/us/ccda/Binary-medications-administered-section-example.html</v>
      </c>
      <c r="J297" t="s">
        <v>1467</v>
      </c>
      <c r="K297" t="str">
        <f t="shared" si="29"/>
        <v>{ file:'2.16.840.1.113883.10.20.22.4.16.html', href:'https://hl7.org/cda/us/ccda/Binary-medications-administered-section-example.html', text:'medications-administered-section-example' },</v>
      </c>
    </row>
    <row r="298" spans="1:11" x14ac:dyDescent="0.25">
      <c r="A298" t="s">
        <v>1246</v>
      </c>
      <c r="B298" t="s">
        <v>246</v>
      </c>
      <c r="C298">
        <f t="shared" si="24"/>
        <v>13</v>
      </c>
      <c r="D298">
        <f t="shared" si="25"/>
        <v>53</v>
      </c>
      <c r="E298">
        <f t="shared" si="26"/>
        <v>53</v>
      </c>
      <c r="F298" t="s">
        <v>418</v>
      </c>
      <c r="G298">
        <f t="shared" si="27"/>
        <v>33</v>
      </c>
      <c r="H298" t="s">
        <v>664</v>
      </c>
      <c r="I298" t="str">
        <f t="shared" si="28"/>
        <v>https://hl7.org/cda/us/ccda/Binary-medications-section-example.html</v>
      </c>
      <c r="J298" t="s">
        <v>1468</v>
      </c>
      <c r="K298" t="str">
        <f t="shared" si="29"/>
        <v>{ file:'2.16.840.1.113883.10.20.22.2.1.1.html', href:'https://hl7.org/cda/us/ccda/Binary-medications-section-example.html', text:'medications-section-example' },</v>
      </c>
    </row>
    <row r="299" spans="1:11" x14ac:dyDescent="0.25">
      <c r="A299" t="s">
        <v>1246</v>
      </c>
      <c r="B299" t="s">
        <v>247</v>
      </c>
      <c r="C299">
        <f t="shared" si="24"/>
        <v>16</v>
      </c>
      <c r="D299" t="e">
        <f t="shared" si="25"/>
        <v>#VALUE!</v>
      </c>
      <c r="E299">
        <f t="shared" si="26"/>
        <v>100</v>
      </c>
      <c r="F299" t="s">
        <v>367</v>
      </c>
      <c r="G299">
        <f t="shared" si="27"/>
        <v>32</v>
      </c>
      <c r="H299" t="s">
        <v>615</v>
      </c>
      <c r="I299" t="str">
        <f t="shared" si="28"/>
        <v>https://hl7.org/cda/us/ccda/Binary-medications-section-example.html</v>
      </c>
      <c r="J299" t="s">
        <v>1468</v>
      </c>
      <c r="K299" t="str">
        <f t="shared" si="29"/>
        <v>{ file:'2.16.840.1.113883.10.20.22.4.16.html', href:'https://hl7.org/cda/us/ccda/Binary-medications-section-example.html', text:'medications-section-example' },</v>
      </c>
    </row>
    <row r="300" spans="1:11" x14ac:dyDescent="0.25">
      <c r="A300" t="s">
        <v>1246</v>
      </c>
      <c r="B300" t="s">
        <v>248</v>
      </c>
      <c r="C300">
        <f t="shared" si="24"/>
        <v>16</v>
      </c>
      <c r="D300" t="e">
        <f t="shared" si="25"/>
        <v>#VALUE!</v>
      </c>
      <c r="E300">
        <f t="shared" si="26"/>
        <v>100</v>
      </c>
      <c r="F300" t="s">
        <v>368</v>
      </c>
      <c r="G300">
        <f t="shared" si="27"/>
        <v>32</v>
      </c>
      <c r="H300" t="s">
        <v>616</v>
      </c>
      <c r="I300" t="str">
        <f t="shared" si="28"/>
        <v>https://hl7.org/cda/us/ccda/Binary-medications-section-example.html</v>
      </c>
      <c r="J300" t="s">
        <v>1468</v>
      </c>
      <c r="K300" t="str">
        <f t="shared" si="29"/>
        <v>{ file:'2.16.840.1.113883.10.20.22.4.23.html', href:'https://hl7.org/cda/us/ccda/Binary-medications-section-example.html', text:'medications-section-example' },</v>
      </c>
    </row>
    <row r="301" spans="1:11" x14ac:dyDescent="0.25">
      <c r="A301" t="s">
        <v>1246</v>
      </c>
      <c r="B301" t="s">
        <v>132</v>
      </c>
      <c r="C301">
        <f t="shared" si="24"/>
        <v>16</v>
      </c>
      <c r="D301" t="e">
        <f t="shared" si="25"/>
        <v>#VALUE!</v>
      </c>
      <c r="E301">
        <f t="shared" si="26"/>
        <v>100</v>
      </c>
      <c r="F301" t="s">
        <v>372</v>
      </c>
      <c r="G301">
        <f t="shared" si="27"/>
        <v>33</v>
      </c>
      <c r="H301" t="s">
        <v>620</v>
      </c>
      <c r="I301" t="str">
        <f t="shared" si="28"/>
        <v>https://hl7.org/cda/us/ccda/Binary-medications-section-example.html</v>
      </c>
      <c r="J301" t="s">
        <v>1468</v>
      </c>
      <c r="K301" t="str">
        <f t="shared" si="29"/>
        <v>{ file:'2.16.840.1.113883.10.20.22.4.119.html', href:'https://hl7.org/cda/us/ccda/Binary-medications-section-example.html', text:'medications-section-example' },</v>
      </c>
    </row>
    <row r="302" spans="1:11" x14ac:dyDescent="0.25">
      <c r="A302" t="s">
        <v>1246</v>
      </c>
      <c r="B302" t="s">
        <v>249</v>
      </c>
      <c r="C302">
        <f t="shared" si="24"/>
        <v>16</v>
      </c>
      <c r="D302" t="e">
        <f t="shared" si="25"/>
        <v>#VALUE!</v>
      </c>
      <c r="E302">
        <f t="shared" si="26"/>
        <v>100</v>
      </c>
      <c r="F302" t="s">
        <v>506</v>
      </c>
      <c r="G302">
        <f t="shared" si="27"/>
        <v>32</v>
      </c>
      <c r="H302" t="s">
        <v>702</v>
      </c>
      <c r="I302" t="str">
        <f t="shared" si="28"/>
        <v>https://hl7.org/cda/us/ccda/Binary-medications-section-example.html</v>
      </c>
      <c r="J302" t="s">
        <v>1468</v>
      </c>
      <c r="K302" t="str">
        <f t="shared" si="29"/>
        <v>{ file:'2.16.840.1.113883.10.20.22.4.19.html', href:'https://hl7.org/cda/us/ccda/Binary-medications-section-example.html', text:'medications-section-example' },</v>
      </c>
    </row>
    <row r="303" spans="1:11" x14ac:dyDescent="0.25">
      <c r="A303" t="s">
        <v>1247</v>
      </c>
      <c r="B303" t="s">
        <v>250</v>
      </c>
      <c r="C303">
        <f t="shared" si="24"/>
        <v>13</v>
      </c>
      <c r="D303">
        <f t="shared" si="25"/>
        <v>52</v>
      </c>
      <c r="E303">
        <f t="shared" si="26"/>
        <v>52</v>
      </c>
      <c r="F303" t="s">
        <v>512</v>
      </c>
      <c r="G303">
        <f t="shared" si="27"/>
        <v>32</v>
      </c>
      <c r="H303" t="s">
        <v>752</v>
      </c>
      <c r="I303" t="str">
        <f t="shared" si="28"/>
        <v>https://hl7.org/cda/us/ccda/Binary-mental-status-observation-example.html</v>
      </c>
      <c r="J303" t="s">
        <v>1469</v>
      </c>
      <c r="K303" t="str">
        <f t="shared" si="29"/>
        <v>{ file:'2.16.840.1.113883.10.20.22.4.74.html', href:'https://hl7.org/cda/us/ccda/Binary-mental-status-observation-example.html', text:'mental-status-observation-example' },</v>
      </c>
    </row>
    <row r="304" spans="1:11" x14ac:dyDescent="0.25">
      <c r="A304" t="s">
        <v>1248</v>
      </c>
      <c r="B304" t="s">
        <v>251</v>
      </c>
      <c r="C304">
        <f t="shared" si="24"/>
        <v>13</v>
      </c>
      <c r="D304">
        <f t="shared" si="25"/>
        <v>52</v>
      </c>
      <c r="E304">
        <f t="shared" si="26"/>
        <v>52</v>
      </c>
      <c r="F304" t="s">
        <v>513</v>
      </c>
      <c r="G304">
        <f t="shared" si="27"/>
        <v>32</v>
      </c>
      <c r="H304" t="s">
        <v>753</v>
      </c>
      <c r="I304" t="str">
        <f t="shared" si="28"/>
        <v>https://hl7.org/cda/us/ccda/Binary-mental-status-organizer-example.html</v>
      </c>
      <c r="J304" t="s">
        <v>1470</v>
      </c>
      <c r="K304" t="str">
        <f t="shared" si="29"/>
        <v>{ file:'2.16.840.1.113883.10.20.22.4.75.html', href:'https://hl7.org/cda/us/ccda/Binary-mental-status-organizer-example.html', text:'mental-status-organizer-example' },</v>
      </c>
    </row>
    <row r="305" spans="1:11" x14ac:dyDescent="0.25">
      <c r="A305" t="s">
        <v>1248</v>
      </c>
      <c r="B305" t="s">
        <v>250</v>
      </c>
      <c r="C305">
        <f t="shared" si="24"/>
        <v>13</v>
      </c>
      <c r="D305">
        <f t="shared" si="25"/>
        <v>52</v>
      </c>
      <c r="E305">
        <f t="shared" si="26"/>
        <v>52</v>
      </c>
      <c r="F305" t="s">
        <v>512</v>
      </c>
      <c r="G305">
        <f t="shared" si="27"/>
        <v>32</v>
      </c>
      <c r="H305" t="s">
        <v>752</v>
      </c>
      <c r="I305" t="str">
        <f t="shared" si="28"/>
        <v>https://hl7.org/cda/us/ccda/Binary-mental-status-organizer-example.html</v>
      </c>
      <c r="J305" t="s">
        <v>1470</v>
      </c>
      <c r="K305" t="str">
        <f t="shared" si="29"/>
        <v>{ file:'2.16.840.1.113883.10.20.22.4.74.html', href:'https://hl7.org/cda/us/ccda/Binary-mental-status-organizer-example.html', text:'mental-status-organizer-example' },</v>
      </c>
    </row>
    <row r="306" spans="1:11" x14ac:dyDescent="0.25">
      <c r="A306" t="s">
        <v>1249</v>
      </c>
      <c r="B306" t="s">
        <v>39</v>
      </c>
      <c r="C306">
        <f t="shared" si="24"/>
        <v>13</v>
      </c>
      <c r="D306">
        <f t="shared" si="25"/>
        <v>52</v>
      </c>
      <c r="E306">
        <f t="shared" si="26"/>
        <v>52</v>
      </c>
      <c r="F306" t="s">
        <v>514</v>
      </c>
      <c r="G306">
        <f t="shared" si="27"/>
        <v>32</v>
      </c>
      <c r="H306" t="s">
        <v>754</v>
      </c>
      <c r="I306" t="str">
        <f t="shared" si="28"/>
        <v>https://hl7.org/cda/us/ccda/Binary-mental-status-section-example.html</v>
      </c>
      <c r="J306" t="s">
        <v>1471</v>
      </c>
      <c r="K306" t="str">
        <f t="shared" si="29"/>
        <v>{ file:'2.16.840.1.113883.10.20.22.2.56.html', href:'https://hl7.org/cda/us/ccda/Binary-mental-status-section-example.html', text:'mental-status-section-example' },</v>
      </c>
    </row>
    <row r="307" spans="1:11" x14ac:dyDescent="0.25">
      <c r="A307" t="s">
        <v>1249</v>
      </c>
      <c r="B307" t="s">
        <v>251</v>
      </c>
      <c r="C307">
        <f t="shared" si="24"/>
        <v>13</v>
      </c>
      <c r="D307">
        <f t="shared" si="25"/>
        <v>52</v>
      </c>
      <c r="E307">
        <f t="shared" si="26"/>
        <v>52</v>
      </c>
      <c r="F307" t="s">
        <v>513</v>
      </c>
      <c r="G307">
        <f t="shared" si="27"/>
        <v>32</v>
      </c>
      <c r="H307" t="s">
        <v>753</v>
      </c>
      <c r="I307" t="str">
        <f t="shared" si="28"/>
        <v>https://hl7.org/cda/us/ccda/Binary-mental-status-section-example.html</v>
      </c>
      <c r="J307" t="s">
        <v>1471</v>
      </c>
      <c r="K307" t="str">
        <f t="shared" si="29"/>
        <v>{ file:'2.16.840.1.113883.10.20.22.4.75.html', href:'https://hl7.org/cda/us/ccda/Binary-mental-status-section-example.html', text:'mental-status-section-example' },</v>
      </c>
    </row>
    <row r="308" spans="1:11" x14ac:dyDescent="0.25">
      <c r="A308" t="s">
        <v>1249</v>
      </c>
      <c r="B308" t="s">
        <v>250</v>
      </c>
      <c r="C308">
        <f t="shared" si="24"/>
        <v>13</v>
      </c>
      <c r="D308">
        <f t="shared" si="25"/>
        <v>52</v>
      </c>
      <c r="E308">
        <f t="shared" si="26"/>
        <v>52</v>
      </c>
      <c r="F308" t="s">
        <v>512</v>
      </c>
      <c r="G308">
        <f t="shared" si="27"/>
        <v>32</v>
      </c>
      <c r="H308" t="s">
        <v>752</v>
      </c>
      <c r="I308" t="str">
        <f t="shared" si="28"/>
        <v>https://hl7.org/cda/us/ccda/Binary-mental-status-section-example.html</v>
      </c>
      <c r="J308" t="s">
        <v>1471</v>
      </c>
      <c r="K308" t="str">
        <f t="shared" si="29"/>
        <v>{ file:'2.16.840.1.113883.10.20.22.4.74.html', href:'https://hl7.org/cda/us/ccda/Binary-mental-status-section-example.html', text:'mental-status-section-example' },</v>
      </c>
    </row>
    <row r="309" spans="1:11" x14ac:dyDescent="0.25">
      <c r="A309" t="s">
        <v>1250</v>
      </c>
      <c r="B309" t="s">
        <v>252</v>
      </c>
      <c r="C309">
        <f t="shared" si="24"/>
        <v>13</v>
      </c>
      <c r="D309">
        <f t="shared" si="25"/>
        <v>53</v>
      </c>
      <c r="E309">
        <f t="shared" si="26"/>
        <v>53</v>
      </c>
      <c r="F309" t="s">
        <v>515</v>
      </c>
      <c r="G309">
        <f t="shared" si="27"/>
        <v>33</v>
      </c>
      <c r="H309" t="s">
        <v>755</v>
      </c>
      <c r="I309" t="str">
        <f t="shared" si="28"/>
        <v>https://hl7.org/cda/us/ccda/Binary-model-number-observation-example.html</v>
      </c>
      <c r="J309" t="s">
        <v>1472</v>
      </c>
      <c r="K309" t="str">
        <f t="shared" si="29"/>
        <v>{ file:'2.16.840.1.113883.10.20.22.4.317.html', href:'https://hl7.org/cda/us/ccda/Binary-model-number-observation-example.html', text:'model-number-observation-example' },</v>
      </c>
    </row>
    <row r="310" spans="1:11" x14ac:dyDescent="0.25">
      <c r="A310" t="s">
        <v>1251</v>
      </c>
      <c r="B310" t="s">
        <v>253</v>
      </c>
      <c r="C310">
        <f t="shared" si="24"/>
        <v>13</v>
      </c>
      <c r="D310">
        <f t="shared" si="25"/>
        <v>53</v>
      </c>
      <c r="E310">
        <f t="shared" si="26"/>
        <v>53</v>
      </c>
      <c r="F310" t="s">
        <v>516</v>
      </c>
      <c r="G310">
        <f t="shared" si="27"/>
        <v>33</v>
      </c>
      <c r="H310" t="s">
        <v>756</v>
      </c>
      <c r="I310" t="str">
        <f t="shared" si="28"/>
        <v>https://hl7.org/cda/us/ccda/Binary-mri-safety-observation-example.html</v>
      </c>
      <c r="J310" t="s">
        <v>1473</v>
      </c>
      <c r="K310" t="str">
        <f t="shared" si="29"/>
        <v>{ file:'2.16.840.1.113883.10.20.22.4.318.html', href:'https://hl7.org/cda/us/ccda/Binary-mri-safety-observation-example.html', text:'mri-safety-observation-example' },</v>
      </c>
    </row>
    <row r="311" spans="1:11" x14ac:dyDescent="0.25">
      <c r="A311" t="s">
        <v>1252</v>
      </c>
      <c r="B311" t="s">
        <v>124</v>
      </c>
      <c r="C311">
        <f t="shared" si="24"/>
        <v>13</v>
      </c>
      <c r="D311" t="e">
        <f t="shared" si="25"/>
        <v>#VALUE!</v>
      </c>
      <c r="E311">
        <f t="shared" si="26"/>
        <v>100</v>
      </c>
      <c r="F311" t="s">
        <v>372</v>
      </c>
      <c r="G311">
        <f t="shared" si="27"/>
        <v>33</v>
      </c>
      <c r="H311" t="s">
        <v>620</v>
      </c>
      <c r="I311" t="str">
        <f t="shared" si="28"/>
        <v>https://hl7.org/cda/us/ccda/Binary-new-author-participant-example.html</v>
      </c>
      <c r="J311" t="s">
        <v>1474</v>
      </c>
      <c r="K311" t="str">
        <f t="shared" si="29"/>
        <v>{ file:'2.16.840.1.113883.10.20.22.4.119.html', href:'https://hl7.org/cda/us/ccda/Binary-new-author-participant-example.html', text:'new-author-participant-example' },</v>
      </c>
    </row>
    <row r="312" spans="1:11" x14ac:dyDescent="0.25">
      <c r="A312" t="s">
        <v>1252</v>
      </c>
      <c r="B312" t="s">
        <v>124</v>
      </c>
      <c r="C312">
        <f t="shared" si="24"/>
        <v>13</v>
      </c>
      <c r="D312" t="e">
        <f t="shared" si="25"/>
        <v>#VALUE!</v>
      </c>
      <c r="E312">
        <f t="shared" si="26"/>
        <v>100</v>
      </c>
      <c r="F312" t="s">
        <v>372</v>
      </c>
      <c r="G312">
        <f t="shared" si="27"/>
        <v>33</v>
      </c>
      <c r="H312" t="s">
        <v>620</v>
      </c>
      <c r="I312" t="str">
        <f t="shared" si="28"/>
        <v>https://hl7.org/cda/us/ccda/Binary-new-author-participant-example.html</v>
      </c>
      <c r="J312" t="s">
        <v>1474</v>
      </c>
      <c r="K312" t="str">
        <f t="shared" si="29"/>
        <v>{ file:'2.16.840.1.113883.10.20.22.4.119.html', href:'https://hl7.org/cda/us/ccda/Binary-new-author-participant-example.html', text:'new-author-participant-example' },</v>
      </c>
    </row>
    <row r="313" spans="1:11" x14ac:dyDescent="0.25">
      <c r="A313" t="s">
        <v>1253</v>
      </c>
      <c r="B313" t="s">
        <v>140</v>
      </c>
      <c r="C313">
        <f t="shared" si="24"/>
        <v>13</v>
      </c>
      <c r="D313">
        <f t="shared" si="25"/>
        <v>52</v>
      </c>
      <c r="E313">
        <f t="shared" si="26"/>
        <v>52</v>
      </c>
      <c r="F313" t="s">
        <v>386</v>
      </c>
      <c r="G313">
        <f t="shared" si="27"/>
        <v>32</v>
      </c>
      <c r="H313" t="s">
        <v>615</v>
      </c>
      <c r="I313" t="str">
        <f t="shared" si="28"/>
        <v>https://hl7.org/cda/us/ccda/Binary-no-known-medications-example.html</v>
      </c>
      <c r="J313" t="s">
        <v>1475</v>
      </c>
      <c r="K313" t="str">
        <f t="shared" si="29"/>
        <v>{ file:'2.16.840.1.113883.10.20.22.4.16.html', href:'https://hl7.org/cda/us/ccda/Binary-no-known-medications-example.html', text:'no-known-medications-example' },</v>
      </c>
    </row>
    <row r="314" spans="1:11" x14ac:dyDescent="0.25">
      <c r="A314" t="s">
        <v>1253</v>
      </c>
      <c r="B314" t="s">
        <v>221</v>
      </c>
      <c r="C314">
        <f t="shared" si="24"/>
        <v>13</v>
      </c>
      <c r="D314">
        <f t="shared" si="25"/>
        <v>52</v>
      </c>
      <c r="E314">
        <f t="shared" si="26"/>
        <v>52</v>
      </c>
      <c r="F314" t="s">
        <v>492</v>
      </c>
      <c r="G314">
        <f t="shared" si="27"/>
        <v>32</v>
      </c>
      <c r="H314" t="s">
        <v>616</v>
      </c>
      <c r="I314" t="str">
        <f t="shared" si="28"/>
        <v>https://hl7.org/cda/us/ccda/Binary-no-known-medications-example.html</v>
      </c>
      <c r="J314" t="s">
        <v>1475</v>
      </c>
      <c r="K314" t="str">
        <f t="shared" si="29"/>
        <v>{ file:'2.16.840.1.113883.10.20.22.4.23.html', href:'https://hl7.org/cda/us/ccda/Binary-no-known-medications-example.html', text:'no-known-medications-example' },</v>
      </c>
    </row>
    <row r="315" spans="1:11" x14ac:dyDescent="0.25">
      <c r="A315" t="s">
        <v>1254</v>
      </c>
      <c r="B315" t="s">
        <v>254</v>
      </c>
      <c r="C315">
        <f t="shared" si="24"/>
        <v>13</v>
      </c>
      <c r="D315">
        <f t="shared" si="25"/>
        <v>53</v>
      </c>
      <c r="E315">
        <f t="shared" si="26"/>
        <v>53</v>
      </c>
      <c r="F315" t="s">
        <v>417</v>
      </c>
      <c r="G315">
        <f t="shared" si="27"/>
        <v>33</v>
      </c>
      <c r="H315" t="s">
        <v>663</v>
      </c>
      <c r="I315" t="str">
        <f t="shared" si="28"/>
        <v>https://hl7.org/cda/us/ccda/Binary-no-known-problems-section-example.html</v>
      </c>
      <c r="J315" t="s">
        <v>1476</v>
      </c>
      <c r="K315" t="str">
        <f t="shared" si="29"/>
        <v>{ file:'2.16.840.1.113883.10.20.22.2.5.1.html', href:'https://hl7.org/cda/us/ccda/Binary-no-known-problems-section-example.html', text:'no-known-problems-section-example' },</v>
      </c>
    </row>
    <row r="316" spans="1:11" x14ac:dyDescent="0.25">
      <c r="A316" t="s">
        <v>1254</v>
      </c>
      <c r="B316" t="s">
        <v>255</v>
      </c>
      <c r="C316">
        <f t="shared" si="24"/>
        <v>13</v>
      </c>
      <c r="D316">
        <f t="shared" si="25"/>
        <v>51</v>
      </c>
      <c r="E316">
        <f t="shared" si="26"/>
        <v>51</v>
      </c>
      <c r="F316" t="s">
        <v>517</v>
      </c>
      <c r="G316">
        <f t="shared" si="27"/>
        <v>31</v>
      </c>
      <c r="H316" t="s">
        <v>757</v>
      </c>
      <c r="I316" t="str">
        <f t="shared" si="28"/>
        <v>https://hl7.org/cda/us/ccda/Binary-no-known-problems-section-example.html</v>
      </c>
      <c r="J316" t="s">
        <v>1476</v>
      </c>
      <c r="K316" t="str">
        <f t="shared" si="29"/>
        <v>{ file:'2.16.840.1.113883.10.20.22.4.3.html', href:'https://hl7.org/cda/us/ccda/Binary-no-known-problems-section-example.html', text:'no-known-problems-section-example' },</v>
      </c>
    </row>
    <row r="317" spans="1:11" x14ac:dyDescent="0.25">
      <c r="A317" t="s">
        <v>1254</v>
      </c>
      <c r="B317" t="s">
        <v>124</v>
      </c>
      <c r="C317">
        <f t="shared" si="24"/>
        <v>13</v>
      </c>
      <c r="D317" t="e">
        <f t="shared" si="25"/>
        <v>#VALUE!</v>
      </c>
      <c r="E317">
        <f t="shared" si="26"/>
        <v>100</v>
      </c>
      <c r="F317" t="s">
        <v>372</v>
      </c>
      <c r="G317">
        <f t="shared" si="27"/>
        <v>33</v>
      </c>
      <c r="H317" t="s">
        <v>620</v>
      </c>
      <c r="I317" t="str">
        <f t="shared" si="28"/>
        <v>https://hl7.org/cda/us/ccda/Binary-no-known-problems-section-example.html</v>
      </c>
      <c r="J317" t="s">
        <v>1476</v>
      </c>
      <c r="K317" t="str">
        <f t="shared" si="29"/>
        <v>{ file:'2.16.840.1.113883.10.20.22.4.119.html', href:'https://hl7.org/cda/us/ccda/Binary-no-known-problems-section-example.html', text:'no-known-problems-section-example' },</v>
      </c>
    </row>
    <row r="318" spans="1:11" x14ac:dyDescent="0.25">
      <c r="A318" t="s">
        <v>1254</v>
      </c>
      <c r="B318" t="s">
        <v>117</v>
      </c>
      <c r="C318">
        <f t="shared" si="24"/>
        <v>13</v>
      </c>
      <c r="D318">
        <f t="shared" si="25"/>
        <v>51</v>
      </c>
      <c r="E318">
        <f t="shared" si="26"/>
        <v>51</v>
      </c>
      <c r="F318" t="s">
        <v>365</v>
      </c>
      <c r="G318">
        <f t="shared" si="27"/>
        <v>31</v>
      </c>
      <c r="H318" t="s">
        <v>613</v>
      </c>
      <c r="I318" t="str">
        <f t="shared" si="28"/>
        <v>https://hl7.org/cda/us/ccda/Binary-no-known-problems-section-example.html</v>
      </c>
      <c r="J318" t="s">
        <v>1476</v>
      </c>
      <c r="K318" t="str">
        <f t="shared" si="29"/>
        <v>{ file:'2.16.840.1.113883.10.20.22.4.4.html', href:'https://hl7.org/cda/us/ccda/Binary-no-known-problems-section-example.html', text:'no-known-problems-section-example' },</v>
      </c>
    </row>
    <row r="319" spans="1:11" x14ac:dyDescent="0.25">
      <c r="A319" t="s">
        <v>1255</v>
      </c>
      <c r="B319" t="s">
        <v>235</v>
      </c>
      <c r="C319">
        <f t="shared" si="24"/>
        <v>13</v>
      </c>
      <c r="D319">
        <f t="shared" si="25"/>
        <v>52</v>
      </c>
      <c r="E319">
        <f t="shared" si="26"/>
        <v>52</v>
      </c>
      <c r="F319" t="s">
        <v>503</v>
      </c>
      <c r="G319">
        <f t="shared" si="27"/>
        <v>32</v>
      </c>
      <c r="H319" t="s">
        <v>744</v>
      </c>
      <c r="I319" t="str">
        <f t="shared" si="28"/>
        <v>https://hl7.org/cda/us/ccda/Binary-non-medicinal-supply-activity-example.html</v>
      </c>
      <c r="J319" t="s">
        <v>1477</v>
      </c>
      <c r="K319" t="str">
        <f t="shared" si="29"/>
        <v>{ file:'2.16.840.1.113883.10.20.22.4.50.html', href:'https://hl7.org/cda/us/ccda/Binary-non-medicinal-supply-activity-example.html', text:'non-medicinal-supply-activity-example' },</v>
      </c>
    </row>
    <row r="320" spans="1:11" x14ac:dyDescent="0.25">
      <c r="A320" t="s">
        <v>1255</v>
      </c>
      <c r="B320" t="s">
        <v>237</v>
      </c>
      <c r="C320">
        <f t="shared" si="24"/>
        <v>13</v>
      </c>
      <c r="D320" t="e">
        <f t="shared" si="25"/>
        <v>#VALUE!</v>
      </c>
      <c r="E320">
        <f t="shared" si="26"/>
        <v>100</v>
      </c>
      <c r="F320" t="s">
        <v>505</v>
      </c>
      <c r="G320">
        <f t="shared" si="27"/>
        <v>32</v>
      </c>
      <c r="H320" t="s">
        <v>746</v>
      </c>
      <c r="I320" t="str">
        <f t="shared" si="28"/>
        <v>https://hl7.org/cda/us/ccda/Binary-non-medicinal-supply-activity-example.html</v>
      </c>
      <c r="J320" t="s">
        <v>1477</v>
      </c>
      <c r="K320" t="str">
        <f t="shared" si="29"/>
        <v>{ file:'2.16.840.1.113883.10.20.22.4.37.html', href:'https://hl7.org/cda/us/ccda/Binary-non-medicinal-supply-activity-example.html', text:'non-medicinal-supply-activity-example' },</v>
      </c>
    </row>
    <row r="321" spans="1:11" x14ac:dyDescent="0.25">
      <c r="A321" t="s">
        <v>1256</v>
      </c>
      <c r="B321" t="s">
        <v>256</v>
      </c>
      <c r="C321">
        <f t="shared" si="24"/>
        <v>13</v>
      </c>
      <c r="D321">
        <f t="shared" si="25"/>
        <v>53</v>
      </c>
      <c r="E321">
        <f t="shared" si="26"/>
        <v>53</v>
      </c>
      <c r="F321" t="s">
        <v>451</v>
      </c>
      <c r="G321">
        <f t="shared" si="27"/>
        <v>33</v>
      </c>
      <c r="H321" t="s">
        <v>697</v>
      </c>
      <c r="I321" t="str">
        <f t="shared" si="28"/>
        <v>https://hl7.org/cda/us/ccda/Binary-note-activity-as-entryrelationship-to-ccda-entry-example.html</v>
      </c>
      <c r="J321" t="s">
        <v>1478</v>
      </c>
      <c r="K321" t="str">
        <f t="shared" si="29"/>
        <v>{ file:'2.16.840.1.113883.10.20.22.2.7.1.html', href:'https://hl7.org/cda/us/ccda/Binary-note-activity-as-entryrelationship-to-ccda-entry-example.html', text:'note-activity-as-entryrelationship-to-ccda-entry-example' },</v>
      </c>
    </row>
    <row r="322" spans="1:11" x14ac:dyDescent="0.25">
      <c r="A322" t="s">
        <v>1256</v>
      </c>
      <c r="B322" t="s">
        <v>257</v>
      </c>
      <c r="C322">
        <f t="shared" si="24"/>
        <v>13</v>
      </c>
      <c r="D322">
        <f t="shared" si="25"/>
        <v>52</v>
      </c>
      <c r="E322">
        <f t="shared" si="26"/>
        <v>52</v>
      </c>
      <c r="F322" t="s">
        <v>385</v>
      </c>
      <c r="G322">
        <f t="shared" si="27"/>
        <v>32</v>
      </c>
      <c r="H322" t="s">
        <v>632</v>
      </c>
      <c r="I322" t="str">
        <f t="shared" si="28"/>
        <v>https://hl7.org/cda/us/ccda/Binary-note-activity-as-entryrelationship-to-ccda-entry-example.html</v>
      </c>
      <c r="J322" t="s">
        <v>1478</v>
      </c>
      <c r="K322" t="str">
        <f t="shared" si="29"/>
        <v>{ file:'2.16.840.1.113883.10.20.22.4.14.html', href:'https://hl7.org/cda/us/ccda/Binary-note-activity-as-entryrelationship-to-ccda-entry-example.html', text:'note-activity-as-entryrelationship-to-ccda-entry-example' },</v>
      </c>
    </row>
    <row r="323" spans="1:11" x14ac:dyDescent="0.25">
      <c r="A323" t="s">
        <v>1256</v>
      </c>
      <c r="B323" t="s">
        <v>258</v>
      </c>
      <c r="C323">
        <f t="shared" ref="C323:C386" si="30">FIND("root=",B323,1)</f>
        <v>13</v>
      </c>
      <c r="D323">
        <f t="shared" ref="D323:D386" si="31">FIND("extension",B323,1)</f>
        <v>53</v>
      </c>
      <c r="E323">
        <f t="shared" ref="E323:E386" si="32">IF(ISERR(D323),100,D323)</f>
        <v>53</v>
      </c>
      <c r="F323" t="s">
        <v>518</v>
      </c>
      <c r="G323">
        <f t="shared" ref="G323:G386" si="33">FIND("/",F323,1)</f>
        <v>33</v>
      </c>
      <c r="H323" t="s">
        <v>758</v>
      </c>
      <c r="I323" t="str">
        <f t="shared" ref="I323:I386" si="34">"https://hl7.org/cda/us/ccda/Binary-"&amp;A323&amp;".html"</f>
        <v>https://hl7.org/cda/us/ccda/Binary-note-activity-as-entryrelationship-to-ccda-entry-example.html</v>
      </c>
      <c r="J323" t="s">
        <v>1478</v>
      </c>
      <c r="K323" t="str">
        <f t="shared" ref="K323:K386" si="35">"{ file:'"&amp;H323&amp;".html', href:'"&amp;I323&amp;"', text:'"&amp;A323&amp;"' },"</f>
        <v>{ file:'2.16.840.1.113883.10.20.22.4.202.html', href:'https://hl7.org/cda/us/ccda/Binary-note-activity-as-entryrelationship-to-ccda-entry-example.html', text:'note-activity-as-entryrelationship-to-ccda-entry-example' },</v>
      </c>
    </row>
    <row r="324" spans="1:11" x14ac:dyDescent="0.25">
      <c r="A324" t="s">
        <v>1256</v>
      </c>
      <c r="B324" t="s">
        <v>124</v>
      </c>
      <c r="C324">
        <f t="shared" si="30"/>
        <v>13</v>
      </c>
      <c r="D324" t="e">
        <f t="shared" si="31"/>
        <v>#VALUE!</v>
      </c>
      <c r="E324">
        <f t="shared" si="32"/>
        <v>100</v>
      </c>
      <c r="F324" t="s">
        <v>372</v>
      </c>
      <c r="G324">
        <f t="shared" si="33"/>
        <v>33</v>
      </c>
      <c r="H324" t="s">
        <v>620</v>
      </c>
      <c r="I324" t="str">
        <f t="shared" si="34"/>
        <v>https://hl7.org/cda/us/ccda/Binary-note-activity-as-entryrelationship-to-ccda-entry-example.html</v>
      </c>
      <c r="J324" t="s">
        <v>1478</v>
      </c>
      <c r="K324" t="str">
        <f t="shared" si="35"/>
        <v>{ file:'2.16.840.1.113883.10.20.22.4.119.html', href:'https://hl7.org/cda/us/ccda/Binary-note-activity-as-entryrelationship-to-ccda-entry-example.html', text:'note-activity-as-entryrelationship-to-ccda-entry-example' },</v>
      </c>
    </row>
    <row r="325" spans="1:11" x14ac:dyDescent="0.25">
      <c r="A325" t="s">
        <v>1257</v>
      </c>
      <c r="B325" t="s">
        <v>256</v>
      </c>
      <c r="C325">
        <f t="shared" si="30"/>
        <v>13</v>
      </c>
      <c r="D325">
        <f t="shared" si="31"/>
        <v>53</v>
      </c>
      <c r="E325">
        <f t="shared" si="32"/>
        <v>53</v>
      </c>
      <c r="F325" t="s">
        <v>451</v>
      </c>
      <c r="G325">
        <f t="shared" si="33"/>
        <v>33</v>
      </c>
      <c r="H325" t="s">
        <v>697</v>
      </c>
      <c r="I325" t="str">
        <f t="shared" si="34"/>
        <v>https://hl7.org/cda/us/ccda/Binary-note-activity-as-standalone-entry-example.html</v>
      </c>
      <c r="J325" t="s">
        <v>1479</v>
      </c>
      <c r="K325" t="str">
        <f t="shared" si="35"/>
        <v>{ file:'2.16.840.1.113883.10.20.22.2.7.1.html', href:'https://hl7.org/cda/us/ccda/Binary-note-activity-as-standalone-entry-example.html', text:'note-activity-as-standalone-entry-example' },</v>
      </c>
    </row>
    <row r="326" spans="1:11" x14ac:dyDescent="0.25">
      <c r="A326" t="s">
        <v>1257</v>
      </c>
      <c r="B326" t="s">
        <v>259</v>
      </c>
      <c r="C326">
        <f t="shared" si="30"/>
        <v>16</v>
      </c>
      <c r="D326">
        <f t="shared" si="31"/>
        <v>55</v>
      </c>
      <c r="E326">
        <f t="shared" si="32"/>
        <v>55</v>
      </c>
      <c r="F326" t="s">
        <v>385</v>
      </c>
      <c r="G326">
        <f t="shared" si="33"/>
        <v>32</v>
      </c>
      <c r="H326" t="s">
        <v>632</v>
      </c>
      <c r="I326" t="str">
        <f t="shared" si="34"/>
        <v>https://hl7.org/cda/us/ccda/Binary-note-activity-as-standalone-entry-example.html</v>
      </c>
      <c r="J326" t="s">
        <v>1479</v>
      </c>
      <c r="K326" t="str">
        <f t="shared" si="35"/>
        <v>{ file:'2.16.840.1.113883.10.20.22.4.14.html', href:'https://hl7.org/cda/us/ccda/Binary-note-activity-as-standalone-entry-example.html', text:'note-activity-as-standalone-entry-example' },</v>
      </c>
    </row>
    <row r="327" spans="1:11" x14ac:dyDescent="0.25">
      <c r="A327" t="s">
        <v>1257</v>
      </c>
      <c r="B327" t="s">
        <v>258</v>
      </c>
      <c r="C327">
        <f t="shared" si="30"/>
        <v>13</v>
      </c>
      <c r="D327">
        <f t="shared" si="31"/>
        <v>53</v>
      </c>
      <c r="E327">
        <f t="shared" si="32"/>
        <v>53</v>
      </c>
      <c r="F327" t="s">
        <v>518</v>
      </c>
      <c r="G327">
        <f t="shared" si="33"/>
        <v>33</v>
      </c>
      <c r="H327" t="s">
        <v>758</v>
      </c>
      <c r="I327" t="str">
        <f t="shared" si="34"/>
        <v>https://hl7.org/cda/us/ccda/Binary-note-activity-as-standalone-entry-example.html</v>
      </c>
      <c r="J327" t="s">
        <v>1479</v>
      </c>
      <c r="K327" t="str">
        <f t="shared" si="35"/>
        <v>{ file:'2.16.840.1.113883.10.20.22.4.202.html', href:'https://hl7.org/cda/us/ccda/Binary-note-activity-as-standalone-entry-example.html', text:'note-activity-as-standalone-entry-example' },</v>
      </c>
    </row>
    <row r="328" spans="1:11" x14ac:dyDescent="0.25">
      <c r="A328" t="s">
        <v>1257</v>
      </c>
      <c r="B328" t="s">
        <v>124</v>
      </c>
      <c r="C328">
        <f t="shared" si="30"/>
        <v>13</v>
      </c>
      <c r="D328" t="e">
        <f t="shared" si="31"/>
        <v>#VALUE!</v>
      </c>
      <c r="E328">
        <f t="shared" si="32"/>
        <v>100</v>
      </c>
      <c r="F328" t="s">
        <v>372</v>
      </c>
      <c r="G328">
        <f t="shared" si="33"/>
        <v>33</v>
      </c>
      <c r="H328" t="s">
        <v>620</v>
      </c>
      <c r="I328" t="str">
        <f t="shared" si="34"/>
        <v>https://hl7.org/cda/us/ccda/Binary-note-activity-as-standalone-entry-example.html</v>
      </c>
      <c r="J328" t="s">
        <v>1479</v>
      </c>
      <c r="K328" t="str">
        <f t="shared" si="35"/>
        <v>{ file:'2.16.840.1.113883.10.20.22.4.119.html', href:'https://hl7.org/cda/us/ccda/Binary-note-activity-as-standalone-entry-example.html', text:'note-activity-as-standalone-entry-example' },</v>
      </c>
    </row>
    <row r="329" spans="1:11" x14ac:dyDescent="0.25">
      <c r="A329" t="s">
        <v>1258</v>
      </c>
      <c r="B329" t="s">
        <v>260</v>
      </c>
      <c r="C329">
        <f t="shared" si="30"/>
        <v>13</v>
      </c>
      <c r="D329">
        <f t="shared" si="31"/>
        <v>52</v>
      </c>
      <c r="E329">
        <f t="shared" si="32"/>
        <v>52</v>
      </c>
      <c r="F329" t="s">
        <v>519</v>
      </c>
      <c r="G329">
        <f t="shared" si="33"/>
        <v>32</v>
      </c>
      <c r="H329" t="s">
        <v>759</v>
      </c>
      <c r="I329" t="str">
        <f t="shared" si="34"/>
        <v>https://hl7.org/cda/us/ccda/Binary-note-section-example.html</v>
      </c>
      <c r="J329" t="s">
        <v>1480</v>
      </c>
      <c r="K329" t="str">
        <f t="shared" si="35"/>
        <v>{ file:'2.16.840.1.113883.10.20.22.2.65.html', href:'https://hl7.org/cda/us/ccda/Binary-note-section-example.html', text:'note-section-example' },</v>
      </c>
    </row>
    <row r="330" spans="1:11" x14ac:dyDescent="0.25">
      <c r="A330" t="s">
        <v>1258</v>
      </c>
      <c r="B330" t="s">
        <v>261</v>
      </c>
      <c r="C330">
        <f t="shared" si="30"/>
        <v>13</v>
      </c>
      <c r="D330">
        <f t="shared" si="31"/>
        <v>53</v>
      </c>
      <c r="E330">
        <f t="shared" si="32"/>
        <v>53</v>
      </c>
      <c r="F330" t="s">
        <v>518</v>
      </c>
      <c r="G330">
        <f t="shared" si="33"/>
        <v>33</v>
      </c>
      <c r="H330" t="s">
        <v>758</v>
      </c>
      <c r="I330" t="str">
        <f t="shared" si="34"/>
        <v>https://hl7.org/cda/us/ccda/Binary-note-section-example.html</v>
      </c>
      <c r="J330" t="s">
        <v>1480</v>
      </c>
      <c r="K330" t="str">
        <f t="shared" si="35"/>
        <v>{ file:'2.16.840.1.113883.10.20.22.4.202.html', href:'https://hl7.org/cda/us/ccda/Binary-note-section-example.html', text:'note-section-example' },</v>
      </c>
    </row>
    <row r="331" spans="1:11" x14ac:dyDescent="0.25">
      <c r="A331" t="s">
        <v>1259</v>
      </c>
      <c r="B331" t="s">
        <v>262</v>
      </c>
      <c r="C331">
        <f t="shared" si="30"/>
        <v>13</v>
      </c>
      <c r="D331">
        <f t="shared" si="31"/>
        <v>52</v>
      </c>
      <c r="E331">
        <f t="shared" si="32"/>
        <v>52</v>
      </c>
      <c r="F331" t="s">
        <v>520</v>
      </c>
      <c r="G331">
        <f t="shared" si="33"/>
        <v>32</v>
      </c>
      <c r="H331" t="s">
        <v>760</v>
      </c>
      <c r="I331" t="str">
        <f t="shared" si="34"/>
        <v>https://hl7.org/cda/us/ccda/Binary-number-of-pressure-ulcers-observation-example.html</v>
      </c>
      <c r="J331" t="s">
        <v>1481</v>
      </c>
      <c r="K331" t="str">
        <f t="shared" si="35"/>
        <v>{ file:'2.16.840.1.113883.10.20.22.4.76.html', href:'https://hl7.org/cda/us/ccda/Binary-number-of-pressure-ulcers-observation-example.html', text:'number-of-pressure-ulcers-observation-example' },</v>
      </c>
    </row>
    <row r="332" spans="1:11" x14ac:dyDescent="0.25">
      <c r="A332" t="s">
        <v>1260</v>
      </c>
      <c r="B332" t="s">
        <v>263</v>
      </c>
      <c r="C332">
        <f t="shared" si="30"/>
        <v>13</v>
      </c>
      <c r="D332" t="e">
        <f t="shared" si="31"/>
        <v>#VALUE!</v>
      </c>
      <c r="E332">
        <f t="shared" si="32"/>
        <v>100</v>
      </c>
      <c r="F332" t="s">
        <v>521</v>
      </c>
      <c r="G332">
        <f t="shared" si="33"/>
        <v>33</v>
      </c>
      <c r="H332" t="s">
        <v>761</v>
      </c>
      <c r="I332" t="str">
        <f t="shared" si="34"/>
        <v>https://hl7.org/cda/us/ccda/Binary-nutrition-assessment-example.html</v>
      </c>
      <c r="J332" t="s">
        <v>1482</v>
      </c>
      <c r="K332" t="str">
        <f t="shared" si="35"/>
        <v>{ file:'2.16.840.1.113883.10.20.22.4.138.html', href:'https://hl7.org/cda/us/ccda/Binary-nutrition-assessment-example.html', text:'nutrition-assessment-example' },</v>
      </c>
    </row>
    <row r="333" spans="1:11" x14ac:dyDescent="0.25">
      <c r="A333" t="s">
        <v>1261</v>
      </c>
      <c r="B333" t="s">
        <v>264</v>
      </c>
      <c r="C333">
        <f t="shared" si="30"/>
        <v>13</v>
      </c>
      <c r="D333" t="e">
        <f t="shared" si="31"/>
        <v>#VALUE!</v>
      </c>
      <c r="E333">
        <f t="shared" si="32"/>
        <v>100</v>
      </c>
      <c r="F333" t="s">
        <v>522</v>
      </c>
      <c r="G333">
        <f t="shared" si="33"/>
        <v>33</v>
      </c>
      <c r="H333" t="s">
        <v>762</v>
      </c>
      <c r="I333" t="str">
        <f t="shared" si="34"/>
        <v>https://hl7.org/cda/us/ccda/Binary-nutrition-recommendation-example.html</v>
      </c>
      <c r="J333" t="s">
        <v>1483</v>
      </c>
      <c r="K333" t="str">
        <f t="shared" si="35"/>
        <v>{ file:'2.16.840.1.113883.10.20.22.4.130.html', href:'https://hl7.org/cda/us/ccda/Binary-nutrition-recommendation-example.html', text:'nutrition-recommendation-example' },</v>
      </c>
    </row>
    <row r="334" spans="1:11" x14ac:dyDescent="0.25">
      <c r="A334" t="s">
        <v>1262</v>
      </c>
      <c r="B334" t="s">
        <v>40</v>
      </c>
      <c r="C334">
        <f t="shared" si="30"/>
        <v>13</v>
      </c>
      <c r="D334" t="e">
        <f t="shared" si="31"/>
        <v>#VALUE!</v>
      </c>
      <c r="E334">
        <f t="shared" si="32"/>
        <v>100</v>
      </c>
      <c r="F334" t="s">
        <v>523</v>
      </c>
      <c r="G334">
        <f t="shared" si="33"/>
        <v>32</v>
      </c>
      <c r="H334" t="s">
        <v>763</v>
      </c>
      <c r="I334" t="str">
        <f t="shared" si="34"/>
        <v>https://hl7.org/cda/us/ccda/Binary-nutrition-section-example.html</v>
      </c>
      <c r="J334" t="s">
        <v>1484</v>
      </c>
      <c r="K334" t="str">
        <f t="shared" si="35"/>
        <v>{ file:'2.16.840.1.113883.10.20.22.2.57.html', href:'https://hl7.org/cda/us/ccda/Binary-nutrition-section-example.html', text:'nutrition-section-example' },</v>
      </c>
    </row>
    <row r="335" spans="1:11" x14ac:dyDescent="0.25">
      <c r="A335" t="s">
        <v>1262</v>
      </c>
      <c r="B335" t="s">
        <v>265</v>
      </c>
      <c r="C335">
        <f t="shared" si="30"/>
        <v>13</v>
      </c>
      <c r="D335" t="e">
        <f t="shared" si="31"/>
        <v>#VALUE!</v>
      </c>
      <c r="E335">
        <f t="shared" si="32"/>
        <v>100</v>
      </c>
      <c r="F335" t="s">
        <v>524</v>
      </c>
      <c r="G335">
        <f t="shared" si="33"/>
        <v>33</v>
      </c>
      <c r="H335" t="s">
        <v>764</v>
      </c>
      <c r="I335" t="str">
        <f t="shared" si="34"/>
        <v>https://hl7.org/cda/us/ccda/Binary-nutrition-section-example.html</v>
      </c>
      <c r="J335" t="s">
        <v>1484</v>
      </c>
      <c r="K335" t="str">
        <f t="shared" si="35"/>
        <v>{ file:'2.16.840.1.113883.10.20.22.4.124.html', href:'https://hl7.org/cda/us/ccda/Binary-nutrition-section-example.html', text:'nutrition-section-example' },</v>
      </c>
    </row>
    <row r="336" spans="1:11" x14ac:dyDescent="0.25">
      <c r="A336" t="s">
        <v>1262</v>
      </c>
      <c r="B336" t="s">
        <v>263</v>
      </c>
      <c r="C336">
        <f t="shared" si="30"/>
        <v>13</v>
      </c>
      <c r="D336" t="e">
        <f t="shared" si="31"/>
        <v>#VALUE!</v>
      </c>
      <c r="E336">
        <f t="shared" si="32"/>
        <v>100</v>
      </c>
      <c r="F336" t="s">
        <v>521</v>
      </c>
      <c r="G336">
        <f t="shared" si="33"/>
        <v>33</v>
      </c>
      <c r="H336" t="s">
        <v>761</v>
      </c>
      <c r="I336" t="str">
        <f t="shared" si="34"/>
        <v>https://hl7.org/cda/us/ccda/Binary-nutrition-section-example.html</v>
      </c>
      <c r="J336" t="s">
        <v>1484</v>
      </c>
      <c r="K336" t="str">
        <f t="shared" si="35"/>
        <v>{ file:'2.16.840.1.113883.10.20.22.4.138.html', href:'https://hl7.org/cda/us/ccda/Binary-nutrition-section-example.html', text:'nutrition-section-example' },</v>
      </c>
    </row>
    <row r="337" spans="1:11" x14ac:dyDescent="0.25">
      <c r="A337" t="s">
        <v>1263</v>
      </c>
      <c r="B337" t="s">
        <v>265</v>
      </c>
      <c r="C337">
        <f t="shared" si="30"/>
        <v>13</v>
      </c>
      <c r="D337" t="e">
        <f t="shared" si="31"/>
        <v>#VALUE!</v>
      </c>
      <c r="E337">
        <f t="shared" si="32"/>
        <v>100</v>
      </c>
      <c r="F337" t="s">
        <v>524</v>
      </c>
      <c r="G337">
        <f t="shared" si="33"/>
        <v>33</v>
      </c>
      <c r="H337" t="s">
        <v>764</v>
      </c>
      <c r="I337" t="str">
        <f t="shared" si="34"/>
        <v>https://hl7.org/cda/us/ccda/Binary-nutritional-status-observation-example.html</v>
      </c>
      <c r="J337" t="s">
        <v>1485</v>
      </c>
      <c r="K337" t="str">
        <f t="shared" si="35"/>
        <v>{ file:'2.16.840.1.113883.10.20.22.4.124.html', href:'https://hl7.org/cda/us/ccda/Binary-nutritional-status-observation-example.html', text:'nutritional-status-observation-example' },</v>
      </c>
    </row>
    <row r="338" spans="1:11" x14ac:dyDescent="0.25">
      <c r="A338" t="s">
        <v>1263</v>
      </c>
      <c r="B338" t="s">
        <v>263</v>
      </c>
      <c r="C338">
        <f t="shared" si="30"/>
        <v>13</v>
      </c>
      <c r="D338" t="e">
        <f t="shared" si="31"/>
        <v>#VALUE!</v>
      </c>
      <c r="E338">
        <f t="shared" si="32"/>
        <v>100</v>
      </c>
      <c r="F338" t="s">
        <v>521</v>
      </c>
      <c r="G338">
        <f t="shared" si="33"/>
        <v>33</v>
      </c>
      <c r="H338" t="s">
        <v>761</v>
      </c>
      <c r="I338" t="str">
        <f t="shared" si="34"/>
        <v>https://hl7.org/cda/us/ccda/Binary-nutritional-status-observation-example.html</v>
      </c>
      <c r="J338" t="s">
        <v>1485</v>
      </c>
      <c r="K338" t="str">
        <f t="shared" si="35"/>
        <v>{ file:'2.16.840.1.113883.10.20.22.4.138.html', href:'https://hl7.org/cda/us/ccda/Binary-nutritional-status-observation-example.html', text:'nutritional-status-observation-example' },</v>
      </c>
    </row>
    <row r="339" spans="1:11" x14ac:dyDescent="0.25">
      <c r="A339" t="s">
        <v>1264</v>
      </c>
      <c r="B339" t="s">
        <v>266</v>
      </c>
      <c r="C339">
        <f t="shared" si="30"/>
        <v>13</v>
      </c>
      <c r="D339" t="e">
        <f t="shared" si="31"/>
        <v>#VALUE!</v>
      </c>
      <c r="E339">
        <f t="shared" si="32"/>
        <v>100</v>
      </c>
      <c r="F339" t="s">
        <v>525</v>
      </c>
      <c r="G339">
        <f t="shared" si="33"/>
        <v>31</v>
      </c>
      <c r="H339" t="s">
        <v>765</v>
      </c>
      <c r="I339" t="str">
        <f t="shared" si="34"/>
        <v>https://hl7.org/cda/us/ccda/Binary-objective-section-example.html</v>
      </c>
      <c r="J339" t="s">
        <v>1486</v>
      </c>
      <c r="K339" t="str">
        <f t="shared" si="35"/>
        <v>{ file:'2.16.840.1.113883.10.20.21.2.1.html', href:'https://hl7.org/cda/us/ccda/Binary-objective-section-example.html', text:'objective-section-example' },</v>
      </c>
    </row>
    <row r="340" spans="1:11" x14ac:dyDescent="0.25">
      <c r="A340" t="s">
        <v>1265</v>
      </c>
      <c r="B340" t="s">
        <v>267</v>
      </c>
      <c r="C340">
        <f t="shared" si="30"/>
        <v>13</v>
      </c>
      <c r="D340" t="e">
        <f t="shared" si="31"/>
        <v>#VALUE!</v>
      </c>
      <c r="E340">
        <f t="shared" si="32"/>
        <v>100</v>
      </c>
      <c r="F340" t="s">
        <v>526</v>
      </c>
      <c r="G340">
        <f t="shared" si="33"/>
        <v>29</v>
      </c>
      <c r="H340" t="s">
        <v>766</v>
      </c>
      <c r="I340" t="str">
        <f t="shared" si="34"/>
        <v>https://hl7.org/cda/us/ccda/Binary-operative-note-fluids-section-example.html</v>
      </c>
      <c r="J340" t="s">
        <v>1487</v>
      </c>
      <c r="K340" t="str">
        <f t="shared" si="35"/>
        <v>{ file:'2.16.840.1.113883.10.20.7.12.html', href:'https://hl7.org/cda/us/ccda/Binary-operative-note-fluids-section-example.html', text:'operative-note-fluids-section-example' },</v>
      </c>
    </row>
    <row r="341" spans="1:11" x14ac:dyDescent="0.25">
      <c r="A341" t="s">
        <v>1266</v>
      </c>
      <c r="B341" t="s">
        <v>60</v>
      </c>
      <c r="C341">
        <f t="shared" si="30"/>
        <v>14</v>
      </c>
      <c r="D341">
        <f t="shared" si="31"/>
        <v>52</v>
      </c>
      <c r="E341">
        <f t="shared" si="32"/>
        <v>52</v>
      </c>
      <c r="F341" t="s">
        <v>400</v>
      </c>
      <c r="G341">
        <f t="shared" si="33"/>
        <v>31</v>
      </c>
      <c r="H341" t="s">
        <v>646</v>
      </c>
      <c r="I341" t="str">
        <f t="shared" si="34"/>
        <v>https://hl7.org/cda/us/ccda/Binary-operative-note-header-example.html</v>
      </c>
      <c r="J341" t="s">
        <v>1488</v>
      </c>
      <c r="K341" t="str">
        <f t="shared" si="35"/>
        <v>{ file:'2.16.840.1.113883.10.20.22.1.1.html', href:'https://hl7.org/cda/us/ccda/Binary-operative-note-header-example.html', text:'operative-note-header-example' },</v>
      </c>
    </row>
    <row r="342" spans="1:11" x14ac:dyDescent="0.25">
      <c r="A342" t="s">
        <v>1266</v>
      </c>
      <c r="B342" t="s">
        <v>88</v>
      </c>
      <c r="C342">
        <f t="shared" si="30"/>
        <v>14</v>
      </c>
      <c r="D342">
        <f t="shared" si="31"/>
        <v>52</v>
      </c>
      <c r="E342">
        <f t="shared" si="32"/>
        <v>52</v>
      </c>
      <c r="F342" t="s">
        <v>527</v>
      </c>
      <c r="G342">
        <f t="shared" si="33"/>
        <v>31</v>
      </c>
      <c r="H342" t="s">
        <v>767</v>
      </c>
      <c r="I342" t="str">
        <f t="shared" si="34"/>
        <v>https://hl7.org/cda/us/ccda/Binary-operative-note-header-example.html</v>
      </c>
      <c r="J342" t="s">
        <v>1488</v>
      </c>
      <c r="K342" t="str">
        <f t="shared" si="35"/>
        <v>{ file:'2.16.840.1.113883.10.20.22.1.7.html', href:'https://hl7.org/cda/us/ccda/Binary-operative-note-header-example.html', text:'operative-note-header-example' },</v>
      </c>
    </row>
    <row r="343" spans="1:11" x14ac:dyDescent="0.25">
      <c r="A343" t="s">
        <v>1266</v>
      </c>
      <c r="B343" t="s">
        <v>89</v>
      </c>
      <c r="C343">
        <f t="shared" si="30"/>
        <v>18</v>
      </c>
      <c r="D343">
        <f t="shared" si="31"/>
        <v>57</v>
      </c>
      <c r="E343">
        <f t="shared" si="32"/>
        <v>57</v>
      </c>
      <c r="F343" t="s">
        <v>384</v>
      </c>
      <c r="G343">
        <f t="shared" si="33"/>
        <v>32</v>
      </c>
      <c r="H343" t="s">
        <v>631</v>
      </c>
      <c r="I343" t="str">
        <f t="shared" si="34"/>
        <v>https://hl7.org/cda/us/ccda/Binary-operative-note-header-example.html</v>
      </c>
      <c r="J343" t="s">
        <v>1488</v>
      </c>
      <c r="K343" t="str">
        <f t="shared" si="35"/>
        <v>{ file:'2.16.840.1.113883.10.20.22.2.25.html', href:'https://hl7.org/cda/us/ccda/Binary-operative-note-header-example.html', text:'operative-note-header-example' },</v>
      </c>
    </row>
    <row r="344" spans="1:11" x14ac:dyDescent="0.25">
      <c r="A344" t="s">
        <v>1266</v>
      </c>
      <c r="B344" t="s">
        <v>90</v>
      </c>
      <c r="C344">
        <f t="shared" si="30"/>
        <v>18</v>
      </c>
      <c r="D344">
        <f t="shared" si="31"/>
        <v>57</v>
      </c>
      <c r="E344">
        <f t="shared" si="32"/>
        <v>57</v>
      </c>
      <c r="F344" t="s">
        <v>427</v>
      </c>
      <c r="G344">
        <f t="shared" si="33"/>
        <v>32</v>
      </c>
      <c r="H344" t="s">
        <v>673</v>
      </c>
      <c r="I344" t="str">
        <f t="shared" si="34"/>
        <v>https://hl7.org/cda/us/ccda/Binary-operative-note-header-example.html</v>
      </c>
      <c r="J344" t="s">
        <v>1488</v>
      </c>
      <c r="K344" t="str">
        <f t="shared" si="35"/>
        <v>{ file:'2.16.840.1.113883.10.20.22.2.37.html', href:'https://hl7.org/cda/us/ccda/Binary-operative-note-header-example.html', text:'operative-note-header-example' },</v>
      </c>
    </row>
    <row r="345" spans="1:11" x14ac:dyDescent="0.25">
      <c r="A345" t="s">
        <v>1266</v>
      </c>
      <c r="B345" t="s">
        <v>91</v>
      </c>
      <c r="C345">
        <f t="shared" si="30"/>
        <v>18</v>
      </c>
      <c r="D345">
        <f t="shared" si="31"/>
        <v>57</v>
      </c>
      <c r="E345">
        <f t="shared" si="32"/>
        <v>57</v>
      </c>
      <c r="F345" t="s">
        <v>528</v>
      </c>
      <c r="G345">
        <f t="shared" si="33"/>
        <v>32</v>
      </c>
      <c r="H345" t="s">
        <v>768</v>
      </c>
      <c r="I345" t="str">
        <f t="shared" si="34"/>
        <v>https://hl7.org/cda/us/ccda/Binary-operative-note-header-example.html</v>
      </c>
      <c r="J345" t="s">
        <v>1488</v>
      </c>
      <c r="K345" t="str">
        <f t="shared" si="35"/>
        <v>{ file:'2.16.840.1.113883.10.20.22.2.34.html', href:'https://hl7.org/cda/us/ccda/Binary-operative-note-header-example.html', text:'operative-note-header-example' },</v>
      </c>
    </row>
    <row r="346" spans="1:11" x14ac:dyDescent="0.25">
      <c r="A346" t="s">
        <v>1266</v>
      </c>
      <c r="B346" t="s">
        <v>92</v>
      </c>
      <c r="C346">
        <f t="shared" si="30"/>
        <v>18</v>
      </c>
      <c r="D346" t="e">
        <f t="shared" si="31"/>
        <v>#VALUE!</v>
      </c>
      <c r="E346">
        <f t="shared" si="32"/>
        <v>100</v>
      </c>
      <c r="F346" t="s">
        <v>529</v>
      </c>
      <c r="G346">
        <f t="shared" si="33"/>
        <v>31</v>
      </c>
      <c r="H346" t="s">
        <v>769</v>
      </c>
      <c r="I346" t="str">
        <f t="shared" si="34"/>
        <v>https://hl7.org/cda/us/ccda/Binary-operative-note-header-example.html</v>
      </c>
      <c r="J346" t="s">
        <v>1488</v>
      </c>
      <c r="K346" t="str">
        <f t="shared" si="35"/>
        <v>{ file:'2.16.840.1.113883.10.20.18.2.9.html', href:'https://hl7.org/cda/us/ccda/Binary-operative-note-header-example.html', text:'operative-note-header-example' },</v>
      </c>
    </row>
    <row r="347" spans="1:11" x14ac:dyDescent="0.25">
      <c r="A347" t="s">
        <v>1266</v>
      </c>
      <c r="B347" t="s">
        <v>93</v>
      </c>
      <c r="C347">
        <f t="shared" si="30"/>
        <v>18</v>
      </c>
      <c r="D347">
        <f t="shared" si="31"/>
        <v>57</v>
      </c>
      <c r="E347">
        <f t="shared" si="32"/>
        <v>57</v>
      </c>
      <c r="F347" t="s">
        <v>530</v>
      </c>
      <c r="G347">
        <f t="shared" si="33"/>
        <v>32</v>
      </c>
      <c r="H347" t="s">
        <v>770</v>
      </c>
      <c r="I347" t="str">
        <f t="shared" si="34"/>
        <v>https://hl7.org/cda/us/ccda/Binary-operative-note-header-example.html</v>
      </c>
      <c r="J347" t="s">
        <v>1488</v>
      </c>
      <c r="K347" t="str">
        <f t="shared" si="35"/>
        <v>{ file:'2.16.840.1.113883.10.20.22.2.28.html', href:'https://hl7.org/cda/us/ccda/Binary-operative-note-header-example.html', text:'operative-note-header-example' },</v>
      </c>
    </row>
    <row r="348" spans="1:11" x14ac:dyDescent="0.25">
      <c r="A348" t="s">
        <v>1266</v>
      </c>
      <c r="B348" t="s">
        <v>94</v>
      </c>
      <c r="C348">
        <f t="shared" si="30"/>
        <v>18</v>
      </c>
      <c r="D348" t="e">
        <f t="shared" si="31"/>
        <v>#VALUE!</v>
      </c>
      <c r="E348">
        <f t="shared" si="32"/>
        <v>100</v>
      </c>
      <c r="F348" t="s">
        <v>531</v>
      </c>
      <c r="G348">
        <f t="shared" si="33"/>
        <v>32</v>
      </c>
      <c r="H348" t="s">
        <v>771</v>
      </c>
      <c r="I348" t="str">
        <f t="shared" si="34"/>
        <v>https://hl7.org/cda/us/ccda/Binary-operative-note-header-example.html</v>
      </c>
      <c r="J348" t="s">
        <v>1488</v>
      </c>
      <c r="K348" t="str">
        <f t="shared" si="35"/>
        <v>{ file:'2.16.840.1.113883.10.20.22.2.31.html', href:'https://hl7.org/cda/us/ccda/Binary-operative-note-header-example.html', text:'operative-note-header-example' },</v>
      </c>
    </row>
    <row r="349" spans="1:11" x14ac:dyDescent="0.25">
      <c r="A349" t="s">
        <v>1266</v>
      </c>
      <c r="B349" t="s">
        <v>95</v>
      </c>
      <c r="C349">
        <f t="shared" si="30"/>
        <v>18</v>
      </c>
      <c r="D349" t="e">
        <f t="shared" si="31"/>
        <v>#VALUE!</v>
      </c>
      <c r="E349">
        <f t="shared" si="32"/>
        <v>100</v>
      </c>
      <c r="F349" t="s">
        <v>532</v>
      </c>
      <c r="G349">
        <f t="shared" si="33"/>
        <v>32</v>
      </c>
      <c r="H349" t="s">
        <v>772</v>
      </c>
      <c r="I349" t="str">
        <f t="shared" si="34"/>
        <v>https://hl7.org/cda/us/ccda/Binary-operative-note-header-example.html</v>
      </c>
      <c r="J349" t="s">
        <v>1488</v>
      </c>
      <c r="K349" t="str">
        <f t="shared" si="35"/>
        <v>{ file:'2.16.840.1.113883.10.20.22.2.27.html', href:'https://hl7.org/cda/us/ccda/Binary-operative-note-header-example.html', text:'operative-note-header-example' },</v>
      </c>
    </row>
    <row r="350" spans="1:11" x14ac:dyDescent="0.25">
      <c r="A350" t="s">
        <v>1266</v>
      </c>
      <c r="B350" t="s">
        <v>96</v>
      </c>
      <c r="C350">
        <f t="shared" si="30"/>
        <v>18</v>
      </c>
      <c r="D350" t="e">
        <f t="shared" si="31"/>
        <v>#VALUE!</v>
      </c>
      <c r="E350">
        <f t="shared" si="32"/>
        <v>100</v>
      </c>
      <c r="F350" t="s">
        <v>533</v>
      </c>
      <c r="G350">
        <f t="shared" si="33"/>
        <v>32</v>
      </c>
      <c r="H350" t="s">
        <v>773</v>
      </c>
      <c r="I350" t="str">
        <f t="shared" si="34"/>
        <v>https://hl7.org/cda/us/ccda/Binary-operative-note-header-example.html</v>
      </c>
      <c r="J350" t="s">
        <v>1488</v>
      </c>
      <c r="K350" t="str">
        <f t="shared" si="35"/>
        <v>{ file:'2.16.840.1.113883.10.20.22.2.35.html', href:'https://hl7.org/cda/us/ccda/Binary-operative-note-header-example.html', text:'operative-note-header-example' },</v>
      </c>
    </row>
    <row r="351" spans="1:11" x14ac:dyDescent="0.25">
      <c r="A351" t="s">
        <v>1267</v>
      </c>
      <c r="B351" t="s">
        <v>268</v>
      </c>
      <c r="C351">
        <f t="shared" si="30"/>
        <v>13</v>
      </c>
      <c r="D351" t="e">
        <f t="shared" si="31"/>
        <v>#VALUE!</v>
      </c>
      <c r="E351">
        <f t="shared" si="32"/>
        <v>100</v>
      </c>
      <c r="F351" t="s">
        <v>534</v>
      </c>
      <c r="G351">
        <f t="shared" si="33"/>
        <v>29</v>
      </c>
      <c r="H351" t="s">
        <v>774</v>
      </c>
      <c r="I351" t="str">
        <f t="shared" si="34"/>
        <v>https://hl7.org/cda/us/ccda/Binary-operative-note-surgical-procedure-section-example.html</v>
      </c>
      <c r="J351" t="s">
        <v>1489</v>
      </c>
      <c r="K351" t="str">
        <f t="shared" si="35"/>
        <v>{ file:'2.16.840.1.113883.10.20.7.14.html', href:'https://hl7.org/cda/us/ccda/Binary-operative-note-surgical-procedure-section-example.html', text:'operative-note-surgical-procedure-section-example' },</v>
      </c>
    </row>
    <row r="352" spans="1:11" x14ac:dyDescent="0.25">
      <c r="A352" t="s">
        <v>1268</v>
      </c>
      <c r="B352" t="s">
        <v>269</v>
      </c>
      <c r="C352">
        <f t="shared" si="30"/>
        <v>13</v>
      </c>
      <c r="D352" t="e">
        <f t="shared" si="31"/>
        <v>#VALUE!</v>
      </c>
      <c r="E352">
        <f t="shared" si="32"/>
        <v>100</v>
      </c>
      <c r="F352" t="s">
        <v>535</v>
      </c>
      <c r="G352">
        <f t="shared" si="33"/>
        <v>33</v>
      </c>
      <c r="H352" t="s">
        <v>775</v>
      </c>
      <c r="I352" t="str">
        <f t="shared" si="34"/>
        <v>https://hl7.org/cda/us/ccda/Binary-outcome-observation-example.html</v>
      </c>
      <c r="J352" t="s">
        <v>1490</v>
      </c>
      <c r="K352" t="str">
        <f t="shared" si="35"/>
        <v>{ file:'2.16.840.1.113883.10.20.22.4.144.html', href:'https://hl7.org/cda/us/ccda/Binary-outcome-observation-example.html', text:'outcome-observation-example' },</v>
      </c>
    </row>
    <row r="353" spans="1:11" x14ac:dyDescent="0.25">
      <c r="A353" t="s">
        <v>1268</v>
      </c>
      <c r="B353" t="s">
        <v>173</v>
      </c>
      <c r="C353">
        <f t="shared" si="30"/>
        <v>13</v>
      </c>
      <c r="D353" t="e">
        <f t="shared" si="31"/>
        <v>#VALUE!</v>
      </c>
      <c r="E353">
        <f t="shared" si="32"/>
        <v>100</v>
      </c>
      <c r="F353" t="s">
        <v>441</v>
      </c>
      <c r="G353">
        <f t="shared" si="33"/>
        <v>33</v>
      </c>
      <c r="H353" t="s">
        <v>687</v>
      </c>
      <c r="I353" t="str">
        <f t="shared" si="34"/>
        <v>https://hl7.org/cda/us/ccda/Binary-outcome-observation-example.html</v>
      </c>
      <c r="J353" t="s">
        <v>1490</v>
      </c>
      <c r="K353" t="str">
        <f t="shared" si="35"/>
        <v>{ file:'2.16.840.1.113883.10.20.22.4.122.html', href:'https://hl7.org/cda/us/ccda/Binary-outcome-observation-example.html', text:'outcome-observation-example' },</v>
      </c>
    </row>
    <row r="354" spans="1:11" x14ac:dyDescent="0.25">
      <c r="A354" t="s">
        <v>1268</v>
      </c>
      <c r="B354" t="s">
        <v>229</v>
      </c>
      <c r="C354">
        <f t="shared" si="30"/>
        <v>13</v>
      </c>
      <c r="D354">
        <f t="shared" si="31"/>
        <v>53</v>
      </c>
      <c r="E354">
        <f t="shared" si="32"/>
        <v>53</v>
      </c>
      <c r="F354" t="s">
        <v>474</v>
      </c>
      <c r="G354">
        <f t="shared" si="33"/>
        <v>33</v>
      </c>
      <c r="H354" t="s">
        <v>718</v>
      </c>
      <c r="I354" t="str">
        <f t="shared" si="34"/>
        <v>https://hl7.org/cda/us/ccda/Binary-outcome-observation-example.html</v>
      </c>
      <c r="J354" t="s">
        <v>1490</v>
      </c>
      <c r="K354" t="str">
        <f t="shared" si="35"/>
        <v>{ file:'2.16.840.1.113883.10.20.22.4.121.html', href:'https://hl7.org/cda/us/ccda/Binary-outcome-observation-example.html', text:'outcome-observation-example' },</v>
      </c>
    </row>
    <row r="355" spans="1:11" x14ac:dyDescent="0.25">
      <c r="A355" t="s">
        <v>1269</v>
      </c>
      <c r="B355" t="s">
        <v>97</v>
      </c>
      <c r="C355">
        <f t="shared" si="30"/>
        <v>16</v>
      </c>
      <c r="D355" t="e">
        <f t="shared" si="31"/>
        <v>#VALUE!</v>
      </c>
      <c r="E355">
        <f t="shared" si="32"/>
        <v>100</v>
      </c>
      <c r="F355" t="s">
        <v>536</v>
      </c>
      <c r="G355">
        <f t="shared" si="33"/>
        <v>32</v>
      </c>
      <c r="H355" t="s">
        <v>650</v>
      </c>
      <c r="I355" t="str">
        <f t="shared" si="34"/>
        <v>https://hl7.org/cda/us/ccda/Binary-outcomes-section-example.html</v>
      </c>
      <c r="J355" t="s">
        <v>1491</v>
      </c>
      <c r="K355" t="str">
        <f t="shared" si="35"/>
        <v>{ file:'2.16.840.1.113883.10.20.22.2.61.html', href:'https://hl7.org/cda/us/ccda/Binary-outcomes-section-example.html', text:'outcomes-section-example' },</v>
      </c>
    </row>
    <row r="356" spans="1:11" x14ac:dyDescent="0.25">
      <c r="A356" t="s">
        <v>1269</v>
      </c>
      <c r="B356" t="s">
        <v>98</v>
      </c>
      <c r="C356">
        <f t="shared" si="30"/>
        <v>18</v>
      </c>
      <c r="D356" t="e">
        <f t="shared" si="31"/>
        <v>#VALUE!</v>
      </c>
      <c r="E356">
        <f t="shared" si="32"/>
        <v>100</v>
      </c>
      <c r="F356" t="s">
        <v>537</v>
      </c>
      <c r="G356">
        <f t="shared" si="33"/>
        <v>33</v>
      </c>
      <c r="H356" t="s">
        <v>775</v>
      </c>
      <c r="I356" t="str">
        <f t="shared" si="34"/>
        <v>https://hl7.org/cda/us/ccda/Binary-outcomes-section-example.html</v>
      </c>
      <c r="J356" t="s">
        <v>1491</v>
      </c>
      <c r="K356" t="str">
        <f t="shared" si="35"/>
        <v>{ file:'2.16.840.1.113883.10.20.22.4.144.html', href:'https://hl7.org/cda/us/ccda/Binary-outcomes-section-example.html', text:'outcomes-section-example' },</v>
      </c>
    </row>
    <row r="357" spans="1:11" x14ac:dyDescent="0.25">
      <c r="A357" t="s">
        <v>1269</v>
      </c>
      <c r="B357" t="s">
        <v>99</v>
      </c>
      <c r="C357">
        <f t="shared" si="30"/>
        <v>20</v>
      </c>
      <c r="D357" t="e">
        <f t="shared" si="31"/>
        <v>#VALUE!</v>
      </c>
      <c r="E357">
        <f t="shared" si="32"/>
        <v>100</v>
      </c>
      <c r="F357" t="s">
        <v>538</v>
      </c>
      <c r="G357">
        <f t="shared" si="33"/>
        <v>33</v>
      </c>
      <c r="H357" t="s">
        <v>687</v>
      </c>
      <c r="I357" t="str">
        <f t="shared" si="34"/>
        <v>https://hl7.org/cda/us/ccda/Binary-outcomes-section-example.html</v>
      </c>
      <c r="J357" t="s">
        <v>1491</v>
      </c>
      <c r="K357" t="str">
        <f t="shared" si="35"/>
        <v>{ file:'2.16.840.1.113883.10.20.22.4.122.html', href:'https://hl7.org/cda/us/ccda/Binary-outcomes-section-example.html', text:'outcomes-section-example' },</v>
      </c>
    </row>
    <row r="358" spans="1:11" x14ac:dyDescent="0.25">
      <c r="A358" t="s">
        <v>1269</v>
      </c>
      <c r="B358" t="s">
        <v>100</v>
      </c>
      <c r="C358">
        <f t="shared" si="30"/>
        <v>18</v>
      </c>
      <c r="D358">
        <f t="shared" si="31"/>
        <v>58</v>
      </c>
      <c r="E358">
        <f t="shared" si="32"/>
        <v>58</v>
      </c>
      <c r="F358" t="s">
        <v>474</v>
      </c>
      <c r="G358">
        <f t="shared" si="33"/>
        <v>33</v>
      </c>
      <c r="H358" t="s">
        <v>718</v>
      </c>
      <c r="I358" t="str">
        <f t="shared" si="34"/>
        <v>https://hl7.org/cda/us/ccda/Binary-outcomes-section-example.html</v>
      </c>
      <c r="J358" t="s">
        <v>1491</v>
      </c>
      <c r="K358" t="str">
        <f t="shared" si="35"/>
        <v>{ file:'2.16.840.1.113883.10.20.22.4.121.html', href:'https://hl7.org/cda/us/ccda/Binary-outcomes-section-example.html', text:'outcomes-section-example' },</v>
      </c>
    </row>
    <row r="359" spans="1:11" x14ac:dyDescent="0.25">
      <c r="A359" t="s">
        <v>1270</v>
      </c>
      <c r="B359" t="s">
        <v>22</v>
      </c>
      <c r="C359">
        <f t="shared" si="30"/>
        <v>13</v>
      </c>
      <c r="D359">
        <f t="shared" si="31"/>
        <v>52</v>
      </c>
      <c r="E359">
        <f t="shared" si="32"/>
        <v>52</v>
      </c>
      <c r="F359" t="s">
        <v>482</v>
      </c>
      <c r="G359">
        <f t="shared" si="33"/>
        <v>32</v>
      </c>
      <c r="H359" t="s">
        <v>725</v>
      </c>
      <c r="I359" t="str">
        <f t="shared" si="34"/>
        <v>https://hl7.org/cda/us/ccda/Binary-past-medical-history-example.html</v>
      </c>
      <c r="J359" t="s">
        <v>1492</v>
      </c>
      <c r="K359" t="str">
        <f t="shared" si="35"/>
        <v>{ file:'2.16.840.1.113883.10.20.22.2.20.html', href:'https://hl7.org/cda/us/ccda/Binary-past-medical-history-example.html', text:'past-medical-history-example' },</v>
      </c>
    </row>
    <row r="360" spans="1:11" x14ac:dyDescent="0.25">
      <c r="A360" t="s">
        <v>1271</v>
      </c>
      <c r="B360" t="s">
        <v>270</v>
      </c>
      <c r="C360">
        <f t="shared" si="30"/>
        <v>13</v>
      </c>
      <c r="D360">
        <f t="shared" si="31"/>
        <v>51</v>
      </c>
      <c r="E360">
        <f t="shared" si="32"/>
        <v>51</v>
      </c>
      <c r="F360" t="s">
        <v>400</v>
      </c>
      <c r="G360">
        <f t="shared" si="33"/>
        <v>31</v>
      </c>
      <c r="H360" t="s">
        <v>646</v>
      </c>
      <c r="I360" t="str">
        <f t="shared" si="34"/>
        <v>https://hl7.org/cda/us/ccda/Binary-patient-generated-document-informationrecipient.html</v>
      </c>
      <c r="J360" t="s">
        <v>1493</v>
      </c>
      <c r="K360" t="str">
        <f t="shared" si="35"/>
        <v>{ file:'2.16.840.1.113883.10.20.22.1.1.html', href:'https://hl7.org/cda/us/ccda/Binary-patient-generated-document-informationrecipient.html', text:'patient-generated-document-informationrecipient' },</v>
      </c>
    </row>
    <row r="361" spans="1:11" x14ac:dyDescent="0.25">
      <c r="A361" t="s">
        <v>1271</v>
      </c>
      <c r="B361" t="s">
        <v>271</v>
      </c>
      <c r="C361">
        <f t="shared" si="30"/>
        <v>13</v>
      </c>
      <c r="D361">
        <f t="shared" si="31"/>
        <v>49</v>
      </c>
      <c r="E361">
        <f t="shared" si="32"/>
        <v>49</v>
      </c>
      <c r="F361" t="s">
        <v>539</v>
      </c>
      <c r="G361">
        <f t="shared" si="33"/>
        <v>29</v>
      </c>
      <c r="H361" t="s">
        <v>776</v>
      </c>
      <c r="I361" t="str">
        <f t="shared" si="34"/>
        <v>https://hl7.org/cda/us/ccda/Binary-patient-generated-document-informationrecipient.html</v>
      </c>
      <c r="J361" t="s">
        <v>1493</v>
      </c>
      <c r="K361" t="str">
        <f t="shared" si="35"/>
        <v>{ file:'2.16.840.1.113883.10.20.29.1.html', href:'https://hl7.org/cda/us/ccda/Binary-patient-generated-document-informationrecipient.html', text:'patient-generated-document-informationrecipient' },</v>
      </c>
    </row>
    <row r="362" spans="1:11" x14ac:dyDescent="0.25">
      <c r="A362" t="s">
        <v>1272</v>
      </c>
      <c r="B362" t="s">
        <v>272</v>
      </c>
      <c r="C362">
        <f t="shared" si="30"/>
        <v>13</v>
      </c>
      <c r="D362">
        <f t="shared" si="31"/>
        <v>52</v>
      </c>
      <c r="E362">
        <f t="shared" si="32"/>
        <v>52</v>
      </c>
      <c r="F362" t="s">
        <v>540</v>
      </c>
      <c r="G362">
        <f t="shared" si="33"/>
        <v>32</v>
      </c>
      <c r="H362" t="s">
        <v>777</v>
      </c>
      <c r="I362" t="str">
        <f t="shared" si="34"/>
        <v>https://hl7.org/cda/us/ccda/Binary-payers-section-example.html</v>
      </c>
      <c r="J362" t="s">
        <v>1494</v>
      </c>
      <c r="K362" t="str">
        <f t="shared" si="35"/>
        <v>{ file:'2.16.840.1.113883.10.20.22.2.18.html', href:'https://hl7.org/cda/us/ccda/Binary-payers-section-example.html', text:'payers-section-example' },</v>
      </c>
    </row>
    <row r="363" spans="1:11" x14ac:dyDescent="0.25">
      <c r="A363" t="s">
        <v>1272</v>
      </c>
      <c r="B363" t="s">
        <v>273</v>
      </c>
      <c r="C363">
        <f t="shared" si="30"/>
        <v>16</v>
      </c>
      <c r="D363">
        <f t="shared" si="31"/>
        <v>55</v>
      </c>
      <c r="E363">
        <f t="shared" si="32"/>
        <v>55</v>
      </c>
      <c r="F363" t="s">
        <v>433</v>
      </c>
      <c r="G363">
        <f t="shared" si="33"/>
        <v>32</v>
      </c>
      <c r="H363" t="s">
        <v>679</v>
      </c>
      <c r="I363" t="str">
        <f t="shared" si="34"/>
        <v>https://hl7.org/cda/us/ccda/Binary-payers-section-example.html</v>
      </c>
      <c r="J363" t="s">
        <v>1494</v>
      </c>
      <c r="K363" t="str">
        <f t="shared" si="35"/>
        <v>{ file:'2.16.840.1.113883.10.20.22.4.60.html', href:'https://hl7.org/cda/us/ccda/Binary-payers-section-example.html', text:'payers-section-example' },</v>
      </c>
    </row>
    <row r="364" spans="1:11" x14ac:dyDescent="0.25">
      <c r="A364" t="s">
        <v>1272</v>
      </c>
      <c r="B364" t="s">
        <v>274</v>
      </c>
      <c r="C364">
        <f t="shared" si="30"/>
        <v>16</v>
      </c>
      <c r="D364">
        <f t="shared" si="31"/>
        <v>55</v>
      </c>
      <c r="E364">
        <f t="shared" si="32"/>
        <v>55</v>
      </c>
      <c r="F364" t="s">
        <v>434</v>
      </c>
      <c r="G364">
        <f t="shared" si="33"/>
        <v>32</v>
      </c>
      <c r="H364" t="s">
        <v>680</v>
      </c>
      <c r="I364" t="str">
        <f t="shared" si="34"/>
        <v>https://hl7.org/cda/us/ccda/Binary-payers-section-example.html</v>
      </c>
      <c r="J364" t="s">
        <v>1494</v>
      </c>
      <c r="K364" t="str">
        <f t="shared" si="35"/>
        <v>{ file:'2.16.840.1.113883.10.20.22.4.61.html', href:'https://hl7.org/cda/us/ccda/Binary-payers-section-example.html', text:'payers-section-example' },</v>
      </c>
    </row>
    <row r="365" spans="1:11" x14ac:dyDescent="0.25">
      <c r="A365" t="s">
        <v>1272</v>
      </c>
      <c r="B365" t="s">
        <v>275</v>
      </c>
      <c r="C365">
        <f t="shared" si="30"/>
        <v>16</v>
      </c>
      <c r="D365" t="e">
        <f t="shared" si="31"/>
        <v>#VALUE!</v>
      </c>
      <c r="E365">
        <f t="shared" si="32"/>
        <v>100</v>
      </c>
      <c r="F365" t="s">
        <v>435</v>
      </c>
      <c r="G365">
        <f t="shared" si="33"/>
        <v>32</v>
      </c>
      <c r="H365" t="s">
        <v>681</v>
      </c>
      <c r="I365" t="str">
        <f t="shared" si="34"/>
        <v>https://hl7.org/cda/us/ccda/Binary-payers-section-example.html</v>
      </c>
      <c r="J365" t="s">
        <v>1494</v>
      </c>
      <c r="K365" t="str">
        <f t="shared" si="35"/>
        <v>{ file:'2.16.840.1.113883.10.20.22.4.87.html', href:'https://hl7.org/cda/us/ccda/Binary-payers-section-example.html', text:'payers-section-example' },</v>
      </c>
    </row>
    <row r="366" spans="1:11" x14ac:dyDescent="0.25">
      <c r="A366" t="s">
        <v>1272</v>
      </c>
      <c r="B366" t="s">
        <v>276</v>
      </c>
      <c r="C366">
        <f t="shared" si="30"/>
        <v>16</v>
      </c>
      <c r="D366" t="e">
        <f t="shared" si="31"/>
        <v>#VALUE!</v>
      </c>
      <c r="E366">
        <f t="shared" si="32"/>
        <v>100</v>
      </c>
      <c r="F366" t="s">
        <v>436</v>
      </c>
      <c r="G366">
        <f t="shared" si="33"/>
        <v>32</v>
      </c>
      <c r="H366" t="s">
        <v>682</v>
      </c>
      <c r="I366" t="str">
        <f t="shared" si="34"/>
        <v>https://hl7.org/cda/us/ccda/Binary-payers-section-example.html</v>
      </c>
      <c r="J366" t="s">
        <v>1494</v>
      </c>
      <c r="K366" t="str">
        <f t="shared" si="35"/>
        <v>{ file:'2.16.840.1.113883.10.20.22.4.89.html', href:'https://hl7.org/cda/us/ccda/Binary-payers-section-example.html', text:'payers-section-example' },</v>
      </c>
    </row>
    <row r="367" spans="1:11" x14ac:dyDescent="0.25">
      <c r="A367" t="s">
        <v>1273</v>
      </c>
      <c r="B367" t="s">
        <v>10</v>
      </c>
      <c r="C367">
        <f t="shared" si="30"/>
        <v>13</v>
      </c>
      <c r="D367">
        <f t="shared" si="31"/>
        <v>49</v>
      </c>
      <c r="E367">
        <f t="shared" si="32"/>
        <v>49</v>
      </c>
      <c r="F367" t="s">
        <v>431</v>
      </c>
      <c r="G367">
        <f t="shared" si="33"/>
        <v>29</v>
      </c>
      <c r="H367" t="s">
        <v>677</v>
      </c>
      <c r="I367" t="str">
        <f t="shared" si="34"/>
        <v>https://hl7.org/cda/us/ccda/Binary-physical-exam-section-example.html</v>
      </c>
      <c r="J367" t="s">
        <v>1495</v>
      </c>
      <c r="K367" t="str">
        <f t="shared" si="35"/>
        <v>{ file:'2.16.840.1.113883.10.20.2.10.html', href:'https://hl7.org/cda/us/ccda/Binary-physical-exam-section-example.html', text:'physical-exam-section-example' },</v>
      </c>
    </row>
    <row r="368" spans="1:11" x14ac:dyDescent="0.25">
      <c r="A368" t="s">
        <v>1274</v>
      </c>
      <c r="B368" t="s">
        <v>15</v>
      </c>
      <c r="C368">
        <f t="shared" si="30"/>
        <v>13</v>
      </c>
      <c r="D368">
        <f t="shared" si="31"/>
        <v>52</v>
      </c>
      <c r="E368">
        <f t="shared" si="32"/>
        <v>52</v>
      </c>
      <c r="F368" t="s">
        <v>449</v>
      </c>
      <c r="G368">
        <f t="shared" si="33"/>
        <v>32</v>
      </c>
      <c r="H368" t="s">
        <v>695</v>
      </c>
      <c r="I368" t="str">
        <f t="shared" si="34"/>
        <v>https://hl7.org/cda/us/ccda/Binary-plan-of-treatment-section-example.html</v>
      </c>
      <c r="J368" t="s">
        <v>1496</v>
      </c>
      <c r="K368" t="str">
        <f t="shared" si="35"/>
        <v>{ file:'2.16.840.1.113883.10.20.22.2.10.html', href:'https://hl7.org/cda/us/ccda/Binary-plan-of-treatment-section-example.html', text:'plan-of-treatment-section-example' },</v>
      </c>
    </row>
    <row r="369" spans="1:11" x14ac:dyDescent="0.25">
      <c r="A369" t="s">
        <v>1274</v>
      </c>
      <c r="B369" t="s">
        <v>202</v>
      </c>
      <c r="C369">
        <f t="shared" si="30"/>
        <v>13</v>
      </c>
      <c r="D369" t="e">
        <f t="shared" si="31"/>
        <v>#VALUE!</v>
      </c>
      <c r="E369">
        <f t="shared" si="32"/>
        <v>100</v>
      </c>
      <c r="F369" t="s">
        <v>477</v>
      </c>
      <c r="G369">
        <f t="shared" si="33"/>
        <v>33</v>
      </c>
      <c r="H369" t="s">
        <v>720</v>
      </c>
      <c r="I369" t="str">
        <f t="shared" si="34"/>
        <v>https://hl7.org/cda/us/ccda/Binary-plan-of-treatment-section-example.html</v>
      </c>
      <c r="J369" t="s">
        <v>1496</v>
      </c>
      <c r="K369" t="str">
        <f t="shared" si="35"/>
        <v>{ file:'2.16.840.1.113883.10.20.22.4.141.html', href:'https://hl7.org/cda/us/ccda/Binary-plan-of-treatment-section-example.html', text:'plan-of-treatment-section-example' },</v>
      </c>
    </row>
    <row r="370" spans="1:11" x14ac:dyDescent="0.25">
      <c r="A370" t="s">
        <v>1274</v>
      </c>
      <c r="B370" t="s">
        <v>277</v>
      </c>
      <c r="C370">
        <f t="shared" si="30"/>
        <v>13</v>
      </c>
      <c r="D370">
        <f t="shared" si="31"/>
        <v>52</v>
      </c>
      <c r="E370">
        <f t="shared" si="32"/>
        <v>52</v>
      </c>
      <c r="F370" t="s">
        <v>541</v>
      </c>
      <c r="G370">
        <f t="shared" si="33"/>
        <v>32</v>
      </c>
      <c r="H370" t="s">
        <v>778</v>
      </c>
      <c r="I370" t="str">
        <f t="shared" si="34"/>
        <v>https://hl7.org/cda/us/ccda/Binary-plan-of-treatment-section-example.html</v>
      </c>
      <c r="J370" t="s">
        <v>1496</v>
      </c>
      <c r="K370" t="str">
        <f t="shared" si="35"/>
        <v>{ file:'2.16.840.1.113883.10.20.22.4.40.html', href:'https://hl7.org/cda/us/ccda/Binary-plan-of-treatment-section-example.html', text:'plan-of-treatment-section-example' },</v>
      </c>
    </row>
    <row r="371" spans="1:11" x14ac:dyDescent="0.25">
      <c r="A371" t="s">
        <v>1275</v>
      </c>
      <c r="B371" t="s">
        <v>278</v>
      </c>
      <c r="C371">
        <f t="shared" si="30"/>
        <v>13</v>
      </c>
      <c r="D371">
        <f t="shared" si="31"/>
        <v>53</v>
      </c>
      <c r="E371">
        <f t="shared" si="32"/>
        <v>53</v>
      </c>
      <c r="F371" t="s">
        <v>542</v>
      </c>
      <c r="G371">
        <f t="shared" si="33"/>
        <v>33</v>
      </c>
      <c r="H371" t="s">
        <v>779</v>
      </c>
      <c r="I371" t="str">
        <f t="shared" si="34"/>
        <v>https://hl7.org/cda/us/ccda/Binary-planned-coverage-example.html</v>
      </c>
      <c r="J371" t="s">
        <v>1497</v>
      </c>
      <c r="K371" t="str">
        <f t="shared" si="35"/>
        <v>{ file:'2.16.840.1.113883.10.20.22.4.129.html', href:'https://hl7.org/cda/us/ccda/Binary-planned-coverage-example.html', text:'planned-coverage-example' },</v>
      </c>
    </row>
    <row r="372" spans="1:11" x14ac:dyDescent="0.25">
      <c r="A372" t="s">
        <v>1276</v>
      </c>
      <c r="B372" t="s">
        <v>277</v>
      </c>
      <c r="C372">
        <f t="shared" si="30"/>
        <v>13</v>
      </c>
      <c r="D372">
        <f t="shared" si="31"/>
        <v>52</v>
      </c>
      <c r="E372">
        <f t="shared" si="32"/>
        <v>52</v>
      </c>
      <c r="F372" t="s">
        <v>541</v>
      </c>
      <c r="G372">
        <f t="shared" si="33"/>
        <v>32</v>
      </c>
      <c r="H372" t="s">
        <v>778</v>
      </c>
      <c r="I372" t="str">
        <f t="shared" si="34"/>
        <v>https://hl7.org/cda/us/ccda/Binary-planned-encounter-example.html</v>
      </c>
      <c r="J372" t="s">
        <v>1498</v>
      </c>
      <c r="K372" t="str">
        <f t="shared" si="35"/>
        <v>{ file:'2.16.840.1.113883.10.20.22.4.40.html', href:'https://hl7.org/cda/us/ccda/Binary-planned-encounter-example.html', text:'planned-encounter-example' },</v>
      </c>
    </row>
    <row r="373" spans="1:11" x14ac:dyDescent="0.25">
      <c r="A373" t="s">
        <v>1277</v>
      </c>
      <c r="B373" t="s">
        <v>279</v>
      </c>
      <c r="C373">
        <f t="shared" si="30"/>
        <v>13</v>
      </c>
      <c r="D373" t="e">
        <f t="shared" si="31"/>
        <v>#VALUE!</v>
      </c>
      <c r="E373">
        <f t="shared" si="32"/>
        <v>100</v>
      </c>
      <c r="F373" t="s">
        <v>543</v>
      </c>
      <c r="G373">
        <f t="shared" si="33"/>
        <v>33</v>
      </c>
      <c r="H373" t="s">
        <v>780</v>
      </c>
      <c r="I373" t="str">
        <f t="shared" si="34"/>
        <v>https://hl7.org/cda/us/ccda/Binary-planned-immunization-activity.html</v>
      </c>
      <c r="J373" t="s">
        <v>1499</v>
      </c>
      <c r="K373" t="str">
        <f t="shared" si="35"/>
        <v>{ file:'2.16.840.1.113883.10.20.22.4.120.html', href:'https://hl7.org/cda/us/ccda/Binary-planned-immunization-activity.html', text:'planned-immunization-activity' },</v>
      </c>
    </row>
    <row r="374" spans="1:11" x14ac:dyDescent="0.25">
      <c r="A374" t="s">
        <v>1277</v>
      </c>
      <c r="B374" t="s">
        <v>215</v>
      </c>
      <c r="C374">
        <f t="shared" si="30"/>
        <v>13</v>
      </c>
      <c r="D374">
        <f t="shared" si="31"/>
        <v>52</v>
      </c>
      <c r="E374">
        <f t="shared" si="32"/>
        <v>52</v>
      </c>
      <c r="F374" t="s">
        <v>488</v>
      </c>
      <c r="G374">
        <f t="shared" si="33"/>
        <v>32</v>
      </c>
      <c r="H374" t="s">
        <v>731</v>
      </c>
      <c r="I374" t="str">
        <f t="shared" si="34"/>
        <v>https://hl7.org/cda/us/ccda/Binary-planned-immunization-activity.html</v>
      </c>
      <c r="J374" t="s">
        <v>1499</v>
      </c>
      <c r="K374" t="str">
        <f t="shared" si="35"/>
        <v>{ file:'2.16.840.1.113883.10.20.22.4.54.html', href:'https://hl7.org/cda/us/ccda/Binary-planned-immunization-activity.html', text:'planned-immunization-activity' },</v>
      </c>
    </row>
    <row r="375" spans="1:11" x14ac:dyDescent="0.25">
      <c r="A375" t="s">
        <v>1278</v>
      </c>
      <c r="B375" t="s">
        <v>280</v>
      </c>
      <c r="C375">
        <f t="shared" si="30"/>
        <v>18</v>
      </c>
      <c r="D375">
        <f t="shared" si="31"/>
        <v>58</v>
      </c>
      <c r="E375">
        <f t="shared" si="32"/>
        <v>58</v>
      </c>
      <c r="F375" t="s">
        <v>544</v>
      </c>
      <c r="G375">
        <f t="shared" si="33"/>
        <v>33</v>
      </c>
      <c r="H375" t="s">
        <v>781</v>
      </c>
      <c r="I375" t="str">
        <f t="shared" si="34"/>
        <v>https://hl7.org/cda/us/ccda/Binary-planned-intervention-act-example.html</v>
      </c>
      <c r="J375" t="s">
        <v>1500</v>
      </c>
      <c r="K375" t="str">
        <f t="shared" si="35"/>
        <v>{ file:'2.16.840.1.113883.10.20.22.4.146.html', href:'https://hl7.org/cda/us/ccda/Binary-planned-intervention-act-example.html', text:'planned-intervention-act-example' },</v>
      </c>
    </row>
    <row r="376" spans="1:11" x14ac:dyDescent="0.25">
      <c r="A376" t="s">
        <v>1278</v>
      </c>
      <c r="B376" t="s">
        <v>173</v>
      </c>
      <c r="C376">
        <f t="shared" si="30"/>
        <v>13</v>
      </c>
      <c r="D376" t="e">
        <f t="shared" si="31"/>
        <v>#VALUE!</v>
      </c>
      <c r="E376">
        <f t="shared" si="32"/>
        <v>100</v>
      </c>
      <c r="F376" t="s">
        <v>441</v>
      </c>
      <c r="G376">
        <f t="shared" si="33"/>
        <v>33</v>
      </c>
      <c r="H376" t="s">
        <v>687</v>
      </c>
      <c r="I376" t="str">
        <f t="shared" si="34"/>
        <v>https://hl7.org/cda/us/ccda/Binary-planned-intervention-act-example.html</v>
      </c>
      <c r="J376" t="s">
        <v>1500</v>
      </c>
      <c r="K376" t="str">
        <f t="shared" si="35"/>
        <v>{ file:'2.16.840.1.113883.10.20.22.4.122.html', href:'https://hl7.org/cda/us/ccda/Binary-planned-intervention-act-example.html', text:'planned-intervention-act-example' },</v>
      </c>
    </row>
    <row r="377" spans="1:11" x14ac:dyDescent="0.25">
      <c r="A377" t="s">
        <v>1278</v>
      </c>
      <c r="B377" t="s">
        <v>281</v>
      </c>
      <c r="C377">
        <f t="shared" si="30"/>
        <v>18</v>
      </c>
      <c r="D377">
        <f t="shared" si="31"/>
        <v>58</v>
      </c>
      <c r="E377">
        <f t="shared" si="32"/>
        <v>58</v>
      </c>
      <c r="F377" t="s">
        <v>474</v>
      </c>
      <c r="G377">
        <f t="shared" si="33"/>
        <v>33</v>
      </c>
      <c r="H377" t="s">
        <v>718</v>
      </c>
      <c r="I377" t="str">
        <f t="shared" si="34"/>
        <v>https://hl7.org/cda/us/ccda/Binary-planned-intervention-act-example.html</v>
      </c>
      <c r="J377" t="s">
        <v>1500</v>
      </c>
      <c r="K377" t="str">
        <f t="shared" si="35"/>
        <v>{ file:'2.16.840.1.113883.10.20.22.4.121.html', href:'https://hl7.org/cda/us/ccda/Binary-planned-intervention-act-example.html', text:'planned-intervention-act-example' },</v>
      </c>
    </row>
    <row r="378" spans="1:11" x14ac:dyDescent="0.25">
      <c r="A378" t="s">
        <v>1279</v>
      </c>
      <c r="B378" t="s">
        <v>282</v>
      </c>
      <c r="C378">
        <f t="shared" si="30"/>
        <v>13</v>
      </c>
      <c r="D378">
        <f t="shared" si="31"/>
        <v>52</v>
      </c>
      <c r="E378">
        <f t="shared" si="32"/>
        <v>52</v>
      </c>
      <c r="F378" t="s">
        <v>545</v>
      </c>
      <c r="G378">
        <f t="shared" si="33"/>
        <v>32</v>
      </c>
      <c r="H378" t="s">
        <v>782</v>
      </c>
      <c r="I378" t="str">
        <f t="shared" si="34"/>
        <v>https://hl7.org/cda/us/ccda/Binary-planned-medication-activity-example.html</v>
      </c>
      <c r="J378" t="s">
        <v>1501</v>
      </c>
      <c r="K378" t="str">
        <f t="shared" si="35"/>
        <v>{ file:'2.16.840.1.113883.10.20.22.4.42.html', href:'https://hl7.org/cda/us/ccda/Binary-planned-medication-activity-example.html', text:'planned-medication-activity-example' },</v>
      </c>
    </row>
    <row r="379" spans="1:11" x14ac:dyDescent="0.25">
      <c r="A379" t="s">
        <v>1279</v>
      </c>
      <c r="B379" t="s">
        <v>221</v>
      </c>
      <c r="C379">
        <f t="shared" si="30"/>
        <v>13</v>
      </c>
      <c r="D379">
        <f t="shared" si="31"/>
        <v>52</v>
      </c>
      <c r="E379">
        <f t="shared" si="32"/>
        <v>52</v>
      </c>
      <c r="F379" t="s">
        <v>492</v>
      </c>
      <c r="G379">
        <f t="shared" si="33"/>
        <v>32</v>
      </c>
      <c r="H379" t="s">
        <v>616</v>
      </c>
      <c r="I379" t="str">
        <f t="shared" si="34"/>
        <v>https://hl7.org/cda/us/ccda/Binary-planned-medication-activity-example.html</v>
      </c>
      <c r="J379" t="s">
        <v>1501</v>
      </c>
      <c r="K379" t="str">
        <f t="shared" si="35"/>
        <v>{ file:'2.16.840.1.113883.10.20.22.4.23.html', href:'https://hl7.org/cda/us/ccda/Binary-planned-medication-activity-example.html', text:'planned-medication-activity-example' },</v>
      </c>
    </row>
    <row r="380" spans="1:11" x14ac:dyDescent="0.25">
      <c r="A380" t="s">
        <v>1279</v>
      </c>
      <c r="B380" t="s">
        <v>124</v>
      </c>
      <c r="C380">
        <f t="shared" si="30"/>
        <v>13</v>
      </c>
      <c r="D380" t="e">
        <f t="shared" si="31"/>
        <v>#VALUE!</v>
      </c>
      <c r="E380">
        <f t="shared" si="32"/>
        <v>100</v>
      </c>
      <c r="F380" t="s">
        <v>372</v>
      </c>
      <c r="G380">
        <f t="shared" si="33"/>
        <v>33</v>
      </c>
      <c r="H380" t="s">
        <v>620</v>
      </c>
      <c r="I380" t="str">
        <f t="shared" si="34"/>
        <v>https://hl7.org/cda/us/ccda/Binary-planned-medication-activity-example.html</v>
      </c>
      <c r="J380" t="s">
        <v>1501</v>
      </c>
      <c r="K380" t="str">
        <f t="shared" si="35"/>
        <v>{ file:'2.16.840.1.113883.10.20.22.4.119.html', href:'https://hl7.org/cda/us/ccda/Binary-planned-medication-activity-example.html', text:'planned-medication-activity-example' },</v>
      </c>
    </row>
    <row r="381" spans="1:11" x14ac:dyDescent="0.25">
      <c r="A381" t="s">
        <v>1280</v>
      </c>
      <c r="B381" t="s">
        <v>283</v>
      </c>
      <c r="C381">
        <f t="shared" si="30"/>
        <v>13</v>
      </c>
      <c r="D381">
        <f t="shared" si="31"/>
        <v>52</v>
      </c>
      <c r="E381">
        <f t="shared" si="32"/>
        <v>52</v>
      </c>
      <c r="F381" t="s">
        <v>388</v>
      </c>
      <c r="G381">
        <f t="shared" si="33"/>
        <v>32</v>
      </c>
      <c r="H381" t="s">
        <v>634</v>
      </c>
      <c r="I381" t="str">
        <f t="shared" si="34"/>
        <v>https://hl7.org/cda/us/ccda/Binary-planned-procedure-example.html</v>
      </c>
      <c r="J381" t="s">
        <v>1502</v>
      </c>
      <c r="K381" t="str">
        <f t="shared" si="35"/>
        <v>{ file:'2.16.840.1.113883.10.20.22.4.41.html', href:'https://hl7.org/cda/us/ccda/Binary-planned-procedure-example.html', text:'planned-procedure-example' },</v>
      </c>
    </row>
    <row r="382" spans="1:11" x14ac:dyDescent="0.25">
      <c r="A382" t="s">
        <v>1281</v>
      </c>
      <c r="B382" t="s">
        <v>284</v>
      </c>
      <c r="C382">
        <f t="shared" si="30"/>
        <v>13</v>
      </c>
      <c r="D382">
        <f t="shared" si="31"/>
        <v>52</v>
      </c>
      <c r="E382">
        <f t="shared" si="32"/>
        <v>52</v>
      </c>
      <c r="F382" t="s">
        <v>546</v>
      </c>
      <c r="G382">
        <f t="shared" si="33"/>
        <v>32</v>
      </c>
      <c r="H382" t="s">
        <v>783</v>
      </c>
      <c r="I382" t="str">
        <f t="shared" si="34"/>
        <v>https://hl7.org/cda/us/ccda/Binary-planned-procedure-section-example.html</v>
      </c>
      <c r="J382" t="s">
        <v>1503</v>
      </c>
      <c r="K382" t="str">
        <f t="shared" si="35"/>
        <v>{ file:'2.16.840.1.113883.10.20.22.2.30.html', href:'https://hl7.org/cda/us/ccda/Binary-planned-procedure-section-example.html', text:'planned-procedure-section-example' },</v>
      </c>
    </row>
    <row r="383" spans="1:11" x14ac:dyDescent="0.25">
      <c r="A383" t="s">
        <v>1281</v>
      </c>
      <c r="B383" t="s">
        <v>285</v>
      </c>
      <c r="C383">
        <f t="shared" si="30"/>
        <v>13</v>
      </c>
      <c r="D383">
        <f t="shared" si="31"/>
        <v>52</v>
      </c>
      <c r="E383">
        <f t="shared" si="32"/>
        <v>52</v>
      </c>
      <c r="F383" t="s">
        <v>388</v>
      </c>
      <c r="G383">
        <f t="shared" si="33"/>
        <v>32</v>
      </c>
      <c r="H383" t="s">
        <v>634</v>
      </c>
      <c r="I383" t="str">
        <f t="shared" si="34"/>
        <v>https://hl7.org/cda/us/ccda/Binary-planned-procedure-section-example.html</v>
      </c>
      <c r="J383" t="s">
        <v>1503</v>
      </c>
      <c r="K383" t="str">
        <f t="shared" si="35"/>
        <v>{ file:'2.16.840.1.113883.10.20.22.4.41.html', href:'https://hl7.org/cda/us/ccda/Binary-planned-procedure-section-example.html', text:'planned-procedure-section-example' },</v>
      </c>
    </row>
    <row r="384" spans="1:11" x14ac:dyDescent="0.25">
      <c r="A384" t="s">
        <v>1282</v>
      </c>
      <c r="B384" t="s">
        <v>286</v>
      </c>
      <c r="C384">
        <f t="shared" si="30"/>
        <v>13</v>
      </c>
      <c r="D384">
        <f t="shared" si="31"/>
        <v>52</v>
      </c>
      <c r="E384">
        <f t="shared" si="32"/>
        <v>52</v>
      </c>
      <c r="F384" t="s">
        <v>547</v>
      </c>
      <c r="G384">
        <f t="shared" si="33"/>
        <v>32</v>
      </c>
      <c r="H384" t="s">
        <v>784</v>
      </c>
      <c r="I384" t="str">
        <f t="shared" si="34"/>
        <v>https://hl7.org/cda/us/ccda/Binary-planned-supply-example.html</v>
      </c>
      <c r="J384" t="s">
        <v>1504</v>
      </c>
      <c r="K384" t="str">
        <f t="shared" si="35"/>
        <v>{ file:'2.16.840.1.113883.10.20.22.4.43.html', href:'https://hl7.org/cda/us/ccda/Binary-planned-supply-example.html', text:'planned-supply-example' },</v>
      </c>
    </row>
    <row r="385" spans="1:11" x14ac:dyDescent="0.25">
      <c r="A385" t="s">
        <v>1282</v>
      </c>
      <c r="B385" t="s">
        <v>221</v>
      </c>
      <c r="C385">
        <f t="shared" si="30"/>
        <v>13</v>
      </c>
      <c r="D385">
        <f t="shared" si="31"/>
        <v>52</v>
      </c>
      <c r="E385">
        <f t="shared" si="32"/>
        <v>52</v>
      </c>
      <c r="F385" t="s">
        <v>492</v>
      </c>
      <c r="G385">
        <f t="shared" si="33"/>
        <v>32</v>
      </c>
      <c r="H385" t="s">
        <v>616</v>
      </c>
      <c r="I385" t="str">
        <f t="shared" si="34"/>
        <v>https://hl7.org/cda/us/ccda/Binary-planned-supply-example.html</v>
      </c>
      <c r="J385" t="s">
        <v>1504</v>
      </c>
      <c r="K385" t="str">
        <f t="shared" si="35"/>
        <v>{ file:'2.16.840.1.113883.10.20.22.4.23.html', href:'https://hl7.org/cda/us/ccda/Binary-planned-supply-example.html', text:'planned-supply-example' },</v>
      </c>
    </row>
    <row r="386" spans="1:11" x14ac:dyDescent="0.25">
      <c r="A386" t="s">
        <v>1283</v>
      </c>
      <c r="B386" t="s">
        <v>167</v>
      </c>
      <c r="C386">
        <f t="shared" si="30"/>
        <v>13</v>
      </c>
      <c r="D386">
        <f t="shared" si="31"/>
        <v>52</v>
      </c>
      <c r="E386">
        <f t="shared" si="32"/>
        <v>52</v>
      </c>
      <c r="F386" t="s">
        <v>434</v>
      </c>
      <c r="G386">
        <f t="shared" si="33"/>
        <v>32</v>
      </c>
      <c r="H386" t="s">
        <v>680</v>
      </c>
      <c r="I386" t="str">
        <f t="shared" si="34"/>
        <v>https://hl7.org/cda/us/ccda/Binary-policy-activity-example.html</v>
      </c>
      <c r="J386" t="s">
        <v>1505</v>
      </c>
      <c r="K386" t="str">
        <f t="shared" si="35"/>
        <v>{ file:'2.16.840.1.113883.10.20.22.4.61.html', href:'https://hl7.org/cda/us/ccda/Binary-policy-activity-example.html', text:'policy-activity-example' },</v>
      </c>
    </row>
    <row r="387" spans="1:11" x14ac:dyDescent="0.25">
      <c r="A387" t="s">
        <v>1283</v>
      </c>
      <c r="B387" t="s">
        <v>287</v>
      </c>
      <c r="C387">
        <f t="shared" ref="C387:C450" si="36">FIND("root=",B387,1)</f>
        <v>13</v>
      </c>
      <c r="D387" t="e">
        <f t="shared" ref="D387:D450" si="37">FIND("extension",B387,1)</f>
        <v>#VALUE!</v>
      </c>
      <c r="E387">
        <f t="shared" ref="E387:E450" si="38">IF(ISERR(D387),100,D387)</f>
        <v>100</v>
      </c>
      <c r="F387" t="s">
        <v>548</v>
      </c>
      <c r="G387">
        <f t="shared" ref="G387:G450" si="39">FIND("/",F387,1)</f>
        <v>32</v>
      </c>
      <c r="H387" t="s">
        <v>681</v>
      </c>
      <c r="I387" t="str">
        <f t="shared" ref="I387:I450" si="40">"https://hl7.org/cda/us/ccda/Binary-"&amp;A387&amp;".html"</f>
        <v>https://hl7.org/cda/us/ccda/Binary-policy-activity-example.html</v>
      </c>
      <c r="J387" t="s">
        <v>1505</v>
      </c>
      <c r="K387" t="str">
        <f t="shared" ref="K387:K450" si="41">"{ file:'"&amp;H387&amp;".html', href:'"&amp;I387&amp;"', text:'"&amp;A387&amp;"' },"</f>
        <v>{ file:'2.16.840.1.113883.10.20.22.4.87.html', href:'https://hl7.org/cda/us/ccda/Binary-policy-activity-example.html', text:'policy-activity-example' },</v>
      </c>
    </row>
    <row r="388" spans="1:11" x14ac:dyDescent="0.25">
      <c r="A388" t="s">
        <v>1283</v>
      </c>
      <c r="B388" t="s">
        <v>288</v>
      </c>
      <c r="C388">
        <f t="shared" si="36"/>
        <v>13</v>
      </c>
      <c r="D388" t="e">
        <f t="shared" si="37"/>
        <v>#VALUE!</v>
      </c>
      <c r="E388">
        <f t="shared" si="38"/>
        <v>100</v>
      </c>
      <c r="F388" t="s">
        <v>549</v>
      </c>
      <c r="G388">
        <f t="shared" si="39"/>
        <v>32</v>
      </c>
      <c r="H388" t="s">
        <v>785</v>
      </c>
      <c r="I388" t="str">
        <f t="shared" si="40"/>
        <v>https://hl7.org/cda/us/ccda/Binary-policy-activity-example.html</v>
      </c>
      <c r="J388" t="s">
        <v>1505</v>
      </c>
      <c r="K388" t="str">
        <f t="shared" si="41"/>
        <v>{ file:'2.16.840.1.113883.10.20.22.4.88.html', href:'https://hl7.org/cda/us/ccda/Binary-policy-activity-example.html', text:'policy-activity-example' },</v>
      </c>
    </row>
    <row r="389" spans="1:11" x14ac:dyDescent="0.25">
      <c r="A389" t="s">
        <v>1283</v>
      </c>
      <c r="B389" t="s">
        <v>289</v>
      </c>
      <c r="C389">
        <f t="shared" si="36"/>
        <v>13</v>
      </c>
      <c r="D389" t="e">
        <f t="shared" si="37"/>
        <v>#VALUE!</v>
      </c>
      <c r="E389">
        <f t="shared" si="38"/>
        <v>100</v>
      </c>
      <c r="F389" t="s">
        <v>550</v>
      </c>
      <c r="G389">
        <f t="shared" si="39"/>
        <v>32</v>
      </c>
      <c r="H389" t="s">
        <v>682</v>
      </c>
      <c r="I389" t="str">
        <f t="shared" si="40"/>
        <v>https://hl7.org/cda/us/ccda/Binary-policy-activity-example.html</v>
      </c>
      <c r="J389" t="s">
        <v>1505</v>
      </c>
      <c r="K389" t="str">
        <f t="shared" si="41"/>
        <v>{ file:'2.16.840.1.113883.10.20.22.4.89.html', href:'https://hl7.org/cda/us/ccda/Binary-policy-activity-example.html', text:'policy-activity-example' },</v>
      </c>
    </row>
    <row r="390" spans="1:11" x14ac:dyDescent="0.25">
      <c r="A390" t="s">
        <v>1283</v>
      </c>
      <c r="B390" t="s">
        <v>290</v>
      </c>
      <c r="C390">
        <f t="shared" si="36"/>
        <v>13</v>
      </c>
      <c r="D390" t="e">
        <f t="shared" si="37"/>
        <v>#VALUE!</v>
      </c>
      <c r="E390">
        <f t="shared" si="38"/>
        <v>100</v>
      </c>
      <c r="F390" t="s">
        <v>551</v>
      </c>
      <c r="G390">
        <f t="shared" si="39"/>
        <v>32</v>
      </c>
      <c r="H390" t="s">
        <v>786</v>
      </c>
      <c r="I390" t="str">
        <f t="shared" si="40"/>
        <v>https://hl7.org/cda/us/ccda/Binary-policy-activity-example.html</v>
      </c>
      <c r="J390" t="s">
        <v>1505</v>
      </c>
      <c r="K390" t="str">
        <f t="shared" si="41"/>
        <v>{ file:'2.16.840.1.113883.10.20.22.4.90.html', href:'https://hl7.org/cda/us/ccda/Binary-policy-activity-example.html', text:'policy-activity-example' },</v>
      </c>
    </row>
    <row r="391" spans="1:11" x14ac:dyDescent="0.25">
      <c r="A391" t="s">
        <v>1283</v>
      </c>
      <c r="B391" t="s">
        <v>291</v>
      </c>
      <c r="C391">
        <f t="shared" si="36"/>
        <v>13</v>
      </c>
      <c r="D391" t="e">
        <f t="shared" si="37"/>
        <v>#VALUE!</v>
      </c>
      <c r="E391">
        <f t="shared" si="38"/>
        <v>100</v>
      </c>
      <c r="F391" t="s">
        <v>552</v>
      </c>
      <c r="G391">
        <f t="shared" si="39"/>
        <v>29</v>
      </c>
      <c r="H391" t="s">
        <v>638</v>
      </c>
      <c r="I391" t="str">
        <f t="shared" si="40"/>
        <v>https://hl7.org/cda/us/ccda/Binary-policy-activity-example.html</v>
      </c>
      <c r="J391" t="s">
        <v>1505</v>
      </c>
      <c r="K391" t="str">
        <f t="shared" si="41"/>
        <v>{ file:'2.16.840.1.113883.10.20.1.19.html', href:'https://hl7.org/cda/us/ccda/Binary-policy-activity-example.html', text:'policy-activity-example' },</v>
      </c>
    </row>
    <row r="392" spans="1:11" x14ac:dyDescent="0.25">
      <c r="A392" t="s">
        <v>1284</v>
      </c>
      <c r="B392" t="s">
        <v>31</v>
      </c>
      <c r="C392">
        <f t="shared" si="36"/>
        <v>13</v>
      </c>
      <c r="D392" t="e">
        <f t="shared" si="37"/>
        <v>#VALUE!</v>
      </c>
      <c r="E392">
        <f t="shared" si="38"/>
        <v>100</v>
      </c>
      <c r="F392" t="s">
        <v>533</v>
      </c>
      <c r="G392">
        <f t="shared" si="39"/>
        <v>32</v>
      </c>
      <c r="H392" t="s">
        <v>773</v>
      </c>
      <c r="I392" t="str">
        <f t="shared" si="40"/>
        <v>https://hl7.org/cda/us/ccda/Binary-postoperative-diagnosis-section-example.html</v>
      </c>
      <c r="J392" t="s">
        <v>1506</v>
      </c>
      <c r="K392" t="str">
        <f t="shared" si="41"/>
        <v>{ file:'2.16.840.1.113883.10.20.22.2.35.html', href:'https://hl7.org/cda/us/ccda/Binary-postoperative-diagnosis-section-example.html', text:'postoperative-diagnosis-section-example' },</v>
      </c>
    </row>
    <row r="393" spans="1:11" x14ac:dyDescent="0.25">
      <c r="A393" t="s">
        <v>1285</v>
      </c>
      <c r="B393" t="s">
        <v>292</v>
      </c>
      <c r="C393">
        <f t="shared" si="36"/>
        <v>13</v>
      </c>
      <c r="D393">
        <f t="shared" si="37"/>
        <v>52</v>
      </c>
      <c r="E393">
        <f t="shared" si="38"/>
        <v>52</v>
      </c>
      <c r="F393" t="s">
        <v>553</v>
      </c>
      <c r="G393">
        <f t="shared" si="39"/>
        <v>32</v>
      </c>
      <c r="H393" t="s">
        <v>787</v>
      </c>
      <c r="I393" t="str">
        <f t="shared" si="40"/>
        <v>https://hl7.org/cda/us/ccda/Binary-postprocedure-diagnosis-example.html</v>
      </c>
      <c r="J393" t="s">
        <v>1507</v>
      </c>
      <c r="K393" t="str">
        <f t="shared" si="41"/>
        <v>{ file:'2.16.840.1.113883.10.20.22.4.51.html', href:'https://hl7.org/cda/us/ccda/Binary-postprocedure-diagnosis-example.html', text:'postprocedure-diagnosis-example' },</v>
      </c>
    </row>
    <row r="394" spans="1:11" x14ac:dyDescent="0.25">
      <c r="A394" t="s">
        <v>1285</v>
      </c>
      <c r="B394" t="s">
        <v>117</v>
      </c>
      <c r="C394">
        <f t="shared" si="36"/>
        <v>13</v>
      </c>
      <c r="D394">
        <f t="shared" si="37"/>
        <v>51</v>
      </c>
      <c r="E394">
        <f t="shared" si="38"/>
        <v>51</v>
      </c>
      <c r="F394" t="s">
        <v>365</v>
      </c>
      <c r="G394">
        <f t="shared" si="39"/>
        <v>31</v>
      </c>
      <c r="H394" t="s">
        <v>613</v>
      </c>
      <c r="I394" t="str">
        <f t="shared" si="40"/>
        <v>https://hl7.org/cda/us/ccda/Binary-postprocedure-diagnosis-example.html</v>
      </c>
      <c r="J394" t="s">
        <v>1507</v>
      </c>
      <c r="K394" t="str">
        <f t="shared" si="41"/>
        <v>{ file:'2.16.840.1.113883.10.20.22.4.4.html', href:'https://hl7.org/cda/us/ccda/Binary-postprocedure-diagnosis-example.html', text:'postprocedure-diagnosis-example' },</v>
      </c>
    </row>
    <row r="395" spans="1:11" x14ac:dyDescent="0.25">
      <c r="A395" t="s">
        <v>1285</v>
      </c>
      <c r="B395" t="s">
        <v>124</v>
      </c>
      <c r="C395">
        <f t="shared" si="36"/>
        <v>13</v>
      </c>
      <c r="D395" t="e">
        <f t="shared" si="37"/>
        <v>#VALUE!</v>
      </c>
      <c r="E395">
        <f t="shared" si="38"/>
        <v>100</v>
      </c>
      <c r="F395" t="s">
        <v>372</v>
      </c>
      <c r="G395">
        <f t="shared" si="39"/>
        <v>33</v>
      </c>
      <c r="H395" t="s">
        <v>620</v>
      </c>
      <c r="I395" t="str">
        <f t="shared" si="40"/>
        <v>https://hl7.org/cda/us/ccda/Binary-postprocedure-diagnosis-example.html</v>
      </c>
      <c r="J395" t="s">
        <v>1507</v>
      </c>
      <c r="K395" t="str">
        <f t="shared" si="41"/>
        <v>{ file:'2.16.840.1.113883.10.20.22.4.119.html', href:'https://hl7.org/cda/us/ccda/Binary-postprocedure-diagnosis-example.html', text:'postprocedure-diagnosis-example' },</v>
      </c>
    </row>
    <row r="396" spans="1:11" x14ac:dyDescent="0.25">
      <c r="A396" t="s">
        <v>1286</v>
      </c>
      <c r="B396" t="s">
        <v>34</v>
      </c>
      <c r="C396">
        <f t="shared" si="36"/>
        <v>13</v>
      </c>
      <c r="D396">
        <f t="shared" si="37"/>
        <v>52</v>
      </c>
      <c r="E396">
        <f t="shared" si="38"/>
        <v>52</v>
      </c>
      <c r="F396" t="s">
        <v>554</v>
      </c>
      <c r="G396">
        <f t="shared" si="39"/>
        <v>32</v>
      </c>
      <c r="H396" t="s">
        <v>788</v>
      </c>
      <c r="I396" t="str">
        <f t="shared" si="40"/>
        <v>https://hl7.org/cda/us/ccda/Binary-postprocedure-diagnosis-section-example.html</v>
      </c>
      <c r="J396" t="s">
        <v>1508</v>
      </c>
      <c r="K396" t="str">
        <f t="shared" si="41"/>
        <v>{ file:'2.16.840.1.113883.10.20.22.2.36.html', href:'https://hl7.org/cda/us/ccda/Binary-postprocedure-diagnosis-section-example.html', text:'postprocedure-diagnosis-section-example' },</v>
      </c>
    </row>
    <row r="397" spans="1:11" x14ac:dyDescent="0.25">
      <c r="A397" t="s">
        <v>1286</v>
      </c>
      <c r="B397" t="s">
        <v>293</v>
      </c>
      <c r="C397">
        <f t="shared" si="36"/>
        <v>16</v>
      </c>
      <c r="D397">
        <f t="shared" si="37"/>
        <v>55</v>
      </c>
      <c r="E397">
        <f t="shared" si="38"/>
        <v>55</v>
      </c>
      <c r="F397" t="s">
        <v>553</v>
      </c>
      <c r="G397">
        <f t="shared" si="39"/>
        <v>32</v>
      </c>
      <c r="H397" t="s">
        <v>787</v>
      </c>
      <c r="I397" t="str">
        <f t="shared" si="40"/>
        <v>https://hl7.org/cda/us/ccda/Binary-postprocedure-diagnosis-section-example.html</v>
      </c>
      <c r="J397" t="s">
        <v>1508</v>
      </c>
      <c r="K397" t="str">
        <f t="shared" si="41"/>
        <v>{ file:'2.16.840.1.113883.10.20.22.4.51.html', href:'https://hl7.org/cda/us/ccda/Binary-postprocedure-diagnosis-section-example.html', text:'postprocedure-diagnosis-section-example' },</v>
      </c>
    </row>
    <row r="398" spans="1:11" x14ac:dyDescent="0.25">
      <c r="A398" t="s">
        <v>1286</v>
      </c>
      <c r="B398" t="s">
        <v>210</v>
      </c>
      <c r="C398">
        <f t="shared" si="36"/>
        <v>16</v>
      </c>
      <c r="D398">
        <f t="shared" si="37"/>
        <v>54</v>
      </c>
      <c r="E398">
        <f t="shared" si="38"/>
        <v>54</v>
      </c>
      <c r="F398" t="s">
        <v>365</v>
      </c>
      <c r="G398">
        <f t="shared" si="39"/>
        <v>31</v>
      </c>
      <c r="H398" t="s">
        <v>613</v>
      </c>
      <c r="I398" t="str">
        <f t="shared" si="40"/>
        <v>https://hl7.org/cda/us/ccda/Binary-postprocedure-diagnosis-section-example.html</v>
      </c>
      <c r="J398" t="s">
        <v>1508</v>
      </c>
      <c r="K398" t="str">
        <f t="shared" si="41"/>
        <v>{ file:'2.16.840.1.113883.10.20.22.4.4.html', href:'https://hl7.org/cda/us/ccda/Binary-postprocedure-diagnosis-section-example.html', text:'postprocedure-diagnosis-section-example' },</v>
      </c>
    </row>
    <row r="399" spans="1:11" x14ac:dyDescent="0.25">
      <c r="A399" t="s">
        <v>1286</v>
      </c>
      <c r="B399" t="s">
        <v>132</v>
      </c>
      <c r="C399">
        <f t="shared" si="36"/>
        <v>16</v>
      </c>
      <c r="D399" t="e">
        <f t="shared" si="37"/>
        <v>#VALUE!</v>
      </c>
      <c r="E399">
        <f t="shared" si="38"/>
        <v>100</v>
      </c>
      <c r="F399" t="s">
        <v>372</v>
      </c>
      <c r="G399">
        <f t="shared" si="39"/>
        <v>33</v>
      </c>
      <c r="H399" t="s">
        <v>620</v>
      </c>
      <c r="I399" t="str">
        <f t="shared" si="40"/>
        <v>https://hl7.org/cda/us/ccda/Binary-postprocedure-diagnosis-section-example.html</v>
      </c>
      <c r="J399" t="s">
        <v>1508</v>
      </c>
      <c r="K399" t="str">
        <f t="shared" si="41"/>
        <v>{ file:'2.16.840.1.113883.10.20.22.4.119.html', href:'https://hl7.org/cda/us/ccda/Binary-postprocedure-diagnosis-section-example.html', text:'postprocedure-diagnosis-section-example' },</v>
      </c>
    </row>
    <row r="400" spans="1:11" x14ac:dyDescent="0.25">
      <c r="A400" t="s">
        <v>1287</v>
      </c>
      <c r="B400" t="s">
        <v>294</v>
      </c>
      <c r="C400">
        <f t="shared" si="36"/>
        <v>13</v>
      </c>
      <c r="D400" t="e">
        <f t="shared" si="37"/>
        <v>#VALUE!</v>
      </c>
      <c r="E400">
        <f t="shared" si="38"/>
        <v>100</v>
      </c>
      <c r="F400" t="s">
        <v>555</v>
      </c>
      <c r="G400">
        <f t="shared" si="39"/>
        <v>32</v>
      </c>
      <c r="H400" t="s">
        <v>789</v>
      </c>
      <c r="I400" t="str">
        <f t="shared" si="40"/>
        <v>https://hl7.org/cda/us/ccda/Binary-precondition-for-substance-administration-example.html</v>
      </c>
      <c r="J400" t="s">
        <v>1509</v>
      </c>
      <c r="K400" t="str">
        <f t="shared" si="41"/>
        <v>{ file:'2.16.840.1.113883.10.20.22.4.25.html', href:'https://hl7.org/cda/us/ccda/Binary-precondition-for-substance-administration-example.html', text:'precondition-for-substance-administration-example' },</v>
      </c>
    </row>
    <row r="401" spans="1:11" x14ac:dyDescent="0.25">
      <c r="A401" t="s">
        <v>1288</v>
      </c>
      <c r="B401" t="s">
        <v>295</v>
      </c>
      <c r="C401">
        <f t="shared" si="36"/>
        <v>13</v>
      </c>
      <c r="D401">
        <f t="shared" si="37"/>
        <v>53</v>
      </c>
      <c r="E401">
        <f t="shared" si="38"/>
        <v>53</v>
      </c>
      <c r="F401" t="s">
        <v>556</v>
      </c>
      <c r="G401">
        <f t="shared" si="39"/>
        <v>33</v>
      </c>
      <c r="H401" t="s">
        <v>790</v>
      </c>
      <c r="I401" t="str">
        <f t="shared" si="40"/>
        <v>https://hl7.org/cda/us/ccda/Binary-pregnancy-intention-in-next-year-example.html</v>
      </c>
      <c r="J401" t="s">
        <v>1510</v>
      </c>
      <c r="K401" t="str">
        <f t="shared" si="41"/>
        <v>{ file:'2.16.840.1.113883.10.20.22.4.281.html', href:'https://hl7.org/cda/us/ccda/Binary-pregnancy-intention-in-next-year-example.html', text:'pregnancy-intention-in-next-year-example' },</v>
      </c>
    </row>
    <row r="402" spans="1:11" x14ac:dyDescent="0.25">
      <c r="A402" t="s">
        <v>1289</v>
      </c>
      <c r="B402" t="s">
        <v>296</v>
      </c>
      <c r="C402">
        <f t="shared" si="36"/>
        <v>13</v>
      </c>
      <c r="D402">
        <f t="shared" si="37"/>
        <v>51</v>
      </c>
      <c r="E402">
        <f t="shared" si="38"/>
        <v>51</v>
      </c>
      <c r="F402" t="s">
        <v>557</v>
      </c>
      <c r="G402">
        <f t="shared" si="39"/>
        <v>31</v>
      </c>
      <c r="H402" t="s">
        <v>791</v>
      </c>
      <c r="I402" t="str">
        <f t="shared" si="40"/>
        <v>https://hl7.org/cda/us/ccda/Binary-pregnancy-status-observation-example.html</v>
      </c>
      <c r="J402" t="s">
        <v>1511</v>
      </c>
      <c r="K402" t="str">
        <f t="shared" si="41"/>
        <v>{ file:'2.16.840.1.113883.10.20.15.3.8.html', href:'https://hl7.org/cda/us/ccda/Binary-pregnancy-status-observation-example.html', text:'pregnancy-status-observation-example' },</v>
      </c>
    </row>
    <row r="403" spans="1:11" x14ac:dyDescent="0.25">
      <c r="A403" t="s">
        <v>1289</v>
      </c>
      <c r="B403" t="s">
        <v>297</v>
      </c>
      <c r="C403">
        <f t="shared" si="36"/>
        <v>16</v>
      </c>
      <c r="D403" t="e">
        <f t="shared" si="37"/>
        <v>#VALUE!</v>
      </c>
      <c r="E403">
        <f t="shared" si="38"/>
        <v>100</v>
      </c>
      <c r="F403" t="s">
        <v>459</v>
      </c>
      <c r="G403">
        <f t="shared" si="39"/>
        <v>31</v>
      </c>
      <c r="H403" t="s">
        <v>705</v>
      </c>
      <c r="I403" t="str">
        <f t="shared" si="40"/>
        <v>https://hl7.org/cda/us/ccda/Binary-pregnancy-status-observation-example.html</v>
      </c>
      <c r="J403" t="s">
        <v>1511</v>
      </c>
      <c r="K403" t="str">
        <f t="shared" si="41"/>
        <v>{ file:'2.16.840.1.113883.10.20.15.3.1.html', href:'https://hl7.org/cda/us/ccda/Binary-pregnancy-status-observation-example.html', text:'pregnancy-status-observation-example' },</v>
      </c>
    </row>
    <row r="404" spans="1:11" x14ac:dyDescent="0.25">
      <c r="A404" t="s">
        <v>1290</v>
      </c>
      <c r="B404" t="s">
        <v>298</v>
      </c>
      <c r="C404">
        <f t="shared" si="36"/>
        <v>13</v>
      </c>
      <c r="D404">
        <f t="shared" si="37"/>
        <v>52</v>
      </c>
      <c r="E404">
        <f t="shared" si="38"/>
        <v>52</v>
      </c>
      <c r="F404" t="s">
        <v>558</v>
      </c>
      <c r="G404">
        <f t="shared" si="39"/>
        <v>32</v>
      </c>
      <c r="H404" t="s">
        <v>792</v>
      </c>
      <c r="I404" t="str">
        <f t="shared" si="40"/>
        <v>https://hl7.org/cda/us/ccda/Binary-preoperative-diagnosis-example.html</v>
      </c>
      <c r="J404" t="s">
        <v>1512</v>
      </c>
      <c r="K404" t="str">
        <f t="shared" si="41"/>
        <v>{ file:'2.16.840.1.113883.10.20.22.4.65.html', href:'https://hl7.org/cda/us/ccda/Binary-preoperative-diagnosis-example.html', text:'preoperative-diagnosis-example' },</v>
      </c>
    </row>
    <row r="405" spans="1:11" x14ac:dyDescent="0.25">
      <c r="A405" t="s">
        <v>1290</v>
      </c>
      <c r="B405" t="s">
        <v>210</v>
      </c>
      <c r="C405">
        <f t="shared" si="36"/>
        <v>16</v>
      </c>
      <c r="D405">
        <f t="shared" si="37"/>
        <v>54</v>
      </c>
      <c r="E405">
        <f t="shared" si="38"/>
        <v>54</v>
      </c>
      <c r="F405" t="s">
        <v>365</v>
      </c>
      <c r="G405">
        <f t="shared" si="39"/>
        <v>31</v>
      </c>
      <c r="H405" t="s">
        <v>613</v>
      </c>
      <c r="I405" t="str">
        <f t="shared" si="40"/>
        <v>https://hl7.org/cda/us/ccda/Binary-preoperative-diagnosis-example.html</v>
      </c>
      <c r="J405" t="s">
        <v>1512</v>
      </c>
      <c r="K405" t="str">
        <f t="shared" si="41"/>
        <v>{ file:'2.16.840.1.113883.10.20.22.4.4.html', href:'https://hl7.org/cda/us/ccda/Binary-preoperative-diagnosis-example.html', text:'preoperative-diagnosis-example' },</v>
      </c>
    </row>
    <row r="406" spans="1:11" x14ac:dyDescent="0.25">
      <c r="A406" t="s">
        <v>1290</v>
      </c>
      <c r="B406" t="s">
        <v>132</v>
      </c>
      <c r="C406">
        <f t="shared" si="36"/>
        <v>16</v>
      </c>
      <c r="D406" t="e">
        <f t="shared" si="37"/>
        <v>#VALUE!</v>
      </c>
      <c r="E406">
        <f t="shared" si="38"/>
        <v>100</v>
      </c>
      <c r="F406" t="s">
        <v>372</v>
      </c>
      <c r="G406">
        <f t="shared" si="39"/>
        <v>33</v>
      </c>
      <c r="H406" t="s">
        <v>620</v>
      </c>
      <c r="I406" t="str">
        <f t="shared" si="40"/>
        <v>https://hl7.org/cda/us/ccda/Binary-preoperative-diagnosis-example.html</v>
      </c>
      <c r="J406" t="s">
        <v>1512</v>
      </c>
      <c r="K406" t="str">
        <f t="shared" si="41"/>
        <v>{ file:'2.16.840.1.113883.10.20.22.4.119.html', href:'https://hl7.org/cda/us/ccda/Binary-preoperative-diagnosis-example.html', text:'preoperative-diagnosis-example' },</v>
      </c>
    </row>
    <row r="407" spans="1:11" x14ac:dyDescent="0.25">
      <c r="A407" t="s">
        <v>1291</v>
      </c>
      <c r="B407" t="s">
        <v>26</v>
      </c>
      <c r="C407">
        <f t="shared" si="36"/>
        <v>13</v>
      </c>
      <c r="D407">
        <f t="shared" si="37"/>
        <v>52</v>
      </c>
      <c r="E407">
        <f t="shared" si="38"/>
        <v>52</v>
      </c>
      <c r="F407" t="s">
        <v>528</v>
      </c>
      <c r="G407">
        <f t="shared" si="39"/>
        <v>32</v>
      </c>
      <c r="H407" t="s">
        <v>768</v>
      </c>
      <c r="I407" t="str">
        <f t="shared" si="40"/>
        <v>https://hl7.org/cda/us/ccda/Binary-preoperative-diagnosis-section-example.html</v>
      </c>
      <c r="J407" t="s">
        <v>1513</v>
      </c>
      <c r="K407" t="str">
        <f t="shared" si="41"/>
        <v>{ file:'2.16.840.1.113883.10.20.22.2.34.html', href:'https://hl7.org/cda/us/ccda/Binary-preoperative-diagnosis-section-example.html', text:'preoperative-diagnosis-section-example' },</v>
      </c>
    </row>
    <row r="408" spans="1:11" x14ac:dyDescent="0.25">
      <c r="A408" t="s">
        <v>1291</v>
      </c>
      <c r="B408" t="s">
        <v>299</v>
      </c>
      <c r="C408">
        <f t="shared" si="36"/>
        <v>16</v>
      </c>
      <c r="D408">
        <f t="shared" si="37"/>
        <v>55</v>
      </c>
      <c r="E408">
        <f t="shared" si="38"/>
        <v>55</v>
      </c>
      <c r="F408" t="s">
        <v>558</v>
      </c>
      <c r="G408">
        <f t="shared" si="39"/>
        <v>32</v>
      </c>
      <c r="H408" t="s">
        <v>792</v>
      </c>
      <c r="I408" t="str">
        <f t="shared" si="40"/>
        <v>https://hl7.org/cda/us/ccda/Binary-preoperative-diagnosis-section-example.html</v>
      </c>
      <c r="J408" t="s">
        <v>1513</v>
      </c>
      <c r="K408" t="str">
        <f t="shared" si="41"/>
        <v>{ file:'2.16.840.1.113883.10.20.22.4.65.html', href:'https://hl7.org/cda/us/ccda/Binary-preoperative-diagnosis-section-example.html', text:'preoperative-diagnosis-section-example' },</v>
      </c>
    </row>
    <row r="409" spans="1:11" x14ac:dyDescent="0.25">
      <c r="A409" t="s">
        <v>1291</v>
      </c>
      <c r="B409" t="s">
        <v>300</v>
      </c>
      <c r="C409">
        <f t="shared" si="36"/>
        <v>18</v>
      </c>
      <c r="D409">
        <f t="shared" si="37"/>
        <v>56</v>
      </c>
      <c r="E409">
        <f t="shared" si="38"/>
        <v>56</v>
      </c>
      <c r="F409" t="s">
        <v>365</v>
      </c>
      <c r="G409">
        <f t="shared" si="39"/>
        <v>31</v>
      </c>
      <c r="H409" t="s">
        <v>613</v>
      </c>
      <c r="I409" t="str">
        <f t="shared" si="40"/>
        <v>https://hl7.org/cda/us/ccda/Binary-preoperative-diagnosis-section-example.html</v>
      </c>
      <c r="J409" t="s">
        <v>1513</v>
      </c>
      <c r="K409" t="str">
        <f t="shared" si="41"/>
        <v>{ file:'2.16.840.1.113883.10.20.22.4.4.html', href:'https://hl7.org/cda/us/ccda/Binary-preoperative-diagnosis-section-example.html', text:'preoperative-diagnosis-section-example' },</v>
      </c>
    </row>
    <row r="410" spans="1:11" x14ac:dyDescent="0.25">
      <c r="A410" t="s">
        <v>1291</v>
      </c>
      <c r="B410" t="s">
        <v>301</v>
      </c>
      <c r="C410">
        <f t="shared" si="36"/>
        <v>18</v>
      </c>
      <c r="D410" t="e">
        <f t="shared" si="37"/>
        <v>#VALUE!</v>
      </c>
      <c r="E410">
        <f t="shared" si="38"/>
        <v>100</v>
      </c>
      <c r="F410" t="s">
        <v>372</v>
      </c>
      <c r="G410">
        <f t="shared" si="39"/>
        <v>33</v>
      </c>
      <c r="H410" t="s">
        <v>620</v>
      </c>
      <c r="I410" t="str">
        <f t="shared" si="40"/>
        <v>https://hl7.org/cda/us/ccda/Binary-preoperative-diagnosis-section-example.html</v>
      </c>
      <c r="J410" t="s">
        <v>1513</v>
      </c>
      <c r="K410" t="str">
        <f t="shared" si="41"/>
        <v>{ file:'2.16.840.1.113883.10.20.22.4.119.html', href:'https://hl7.org/cda/us/ccda/Binary-preoperative-diagnosis-section-example.html', text:'preoperative-diagnosis-section-example' },</v>
      </c>
    </row>
    <row r="411" spans="1:11" x14ac:dyDescent="0.25">
      <c r="A411" t="s">
        <v>1292</v>
      </c>
      <c r="B411" t="s">
        <v>198</v>
      </c>
      <c r="C411">
        <f t="shared" si="36"/>
        <v>13</v>
      </c>
      <c r="D411" t="e">
        <f t="shared" si="37"/>
        <v>#VALUE!</v>
      </c>
      <c r="E411">
        <f t="shared" si="38"/>
        <v>100</v>
      </c>
      <c r="F411" t="s">
        <v>475</v>
      </c>
      <c r="G411">
        <f t="shared" si="39"/>
        <v>33</v>
      </c>
      <c r="H411" t="s">
        <v>719</v>
      </c>
      <c r="I411" t="str">
        <f t="shared" si="40"/>
        <v>https://hl7.org/cda/us/ccda/Binary-priority-preference-example.html</v>
      </c>
      <c r="J411" t="s">
        <v>1514</v>
      </c>
      <c r="K411" t="str">
        <f t="shared" si="41"/>
        <v>{ file:'2.16.840.1.113883.10.20.22.4.143.html', href:'https://hl7.org/cda/us/ccda/Binary-priority-preference-example.html', text:'priority-preference-example' },</v>
      </c>
    </row>
    <row r="412" spans="1:11" x14ac:dyDescent="0.25">
      <c r="A412" t="s">
        <v>1292</v>
      </c>
      <c r="B412" t="s">
        <v>124</v>
      </c>
      <c r="C412">
        <f t="shared" si="36"/>
        <v>13</v>
      </c>
      <c r="D412" t="e">
        <f t="shared" si="37"/>
        <v>#VALUE!</v>
      </c>
      <c r="E412">
        <f t="shared" si="38"/>
        <v>100</v>
      </c>
      <c r="F412" t="s">
        <v>372</v>
      </c>
      <c r="G412">
        <f t="shared" si="39"/>
        <v>33</v>
      </c>
      <c r="H412" t="s">
        <v>620</v>
      </c>
      <c r="I412" t="str">
        <f t="shared" si="40"/>
        <v>https://hl7.org/cda/us/ccda/Binary-priority-preference-example.html</v>
      </c>
      <c r="J412" t="s">
        <v>1514</v>
      </c>
      <c r="K412" t="str">
        <f t="shared" si="41"/>
        <v>{ file:'2.16.840.1.113883.10.20.22.4.119.html', href:'https://hl7.org/cda/us/ccda/Binary-priority-preference-example.html', text:'priority-preference-example' },</v>
      </c>
    </row>
    <row r="413" spans="1:11" x14ac:dyDescent="0.25">
      <c r="A413" t="s">
        <v>1293</v>
      </c>
      <c r="B413" t="s">
        <v>302</v>
      </c>
      <c r="C413">
        <f t="shared" si="36"/>
        <v>13</v>
      </c>
      <c r="D413" t="e">
        <f t="shared" si="37"/>
        <v>#VALUE!</v>
      </c>
      <c r="E413">
        <f t="shared" si="38"/>
        <v>100</v>
      </c>
      <c r="F413" t="s">
        <v>559</v>
      </c>
      <c r="G413">
        <f t="shared" si="39"/>
        <v>31</v>
      </c>
      <c r="H413" t="s">
        <v>757</v>
      </c>
      <c r="I413" t="str">
        <f t="shared" si="40"/>
        <v>https://hl7.org/cda/us/ccda/Binary-problem-concern-act-example.html</v>
      </c>
      <c r="J413" t="s">
        <v>1515</v>
      </c>
      <c r="K413" t="str">
        <f t="shared" si="41"/>
        <v>{ file:'2.16.840.1.113883.10.20.22.4.3.html', href:'https://hl7.org/cda/us/ccda/Binary-problem-concern-act-example.html', text:'problem-concern-act-example' },</v>
      </c>
    </row>
    <row r="414" spans="1:11" x14ac:dyDescent="0.25">
      <c r="A414" t="s">
        <v>1293</v>
      </c>
      <c r="B414" t="s">
        <v>124</v>
      </c>
      <c r="C414">
        <f t="shared" si="36"/>
        <v>13</v>
      </c>
      <c r="D414" t="e">
        <f t="shared" si="37"/>
        <v>#VALUE!</v>
      </c>
      <c r="E414">
        <f t="shared" si="38"/>
        <v>100</v>
      </c>
      <c r="F414" t="s">
        <v>372</v>
      </c>
      <c r="G414">
        <f t="shared" si="39"/>
        <v>33</v>
      </c>
      <c r="H414" t="s">
        <v>620</v>
      </c>
      <c r="I414" t="str">
        <f t="shared" si="40"/>
        <v>https://hl7.org/cda/us/ccda/Binary-problem-concern-act-example.html</v>
      </c>
      <c r="J414" t="s">
        <v>1515</v>
      </c>
      <c r="K414" t="str">
        <f t="shared" si="41"/>
        <v>{ file:'2.16.840.1.113883.10.20.22.4.119.html', href:'https://hl7.org/cda/us/ccda/Binary-problem-concern-act-example.html', text:'problem-concern-act-example' },</v>
      </c>
    </row>
    <row r="415" spans="1:11" x14ac:dyDescent="0.25">
      <c r="A415" t="s">
        <v>1293</v>
      </c>
      <c r="B415" t="s">
        <v>210</v>
      </c>
      <c r="C415">
        <f t="shared" si="36"/>
        <v>16</v>
      </c>
      <c r="D415">
        <f t="shared" si="37"/>
        <v>54</v>
      </c>
      <c r="E415">
        <f t="shared" si="38"/>
        <v>54</v>
      </c>
      <c r="F415" t="s">
        <v>365</v>
      </c>
      <c r="G415">
        <f t="shared" si="39"/>
        <v>31</v>
      </c>
      <c r="H415" t="s">
        <v>613</v>
      </c>
      <c r="I415" t="str">
        <f t="shared" si="40"/>
        <v>https://hl7.org/cda/us/ccda/Binary-problem-concern-act-example.html</v>
      </c>
      <c r="J415" t="s">
        <v>1515</v>
      </c>
      <c r="K415" t="str">
        <f t="shared" si="41"/>
        <v>{ file:'2.16.840.1.113883.10.20.22.4.4.html', href:'https://hl7.org/cda/us/ccda/Binary-problem-concern-act-example.html', text:'problem-concern-act-example' },</v>
      </c>
    </row>
    <row r="416" spans="1:11" x14ac:dyDescent="0.25">
      <c r="A416" t="s">
        <v>1293</v>
      </c>
      <c r="B416" t="s">
        <v>132</v>
      </c>
      <c r="C416">
        <f t="shared" si="36"/>
        <v>16</v>
      </c>
      <c r="D416" t="e">
        <f t="shared" si="37"/>
        <v>#VALUE!</v>
      </c>
      <c r="E416">
        <f t="shared" si="38"/>
        <v>100</v>
      </c>
      <c r="F416" t="s">
        <v>372</v>
      </c>
      <c r="G416">
        <f t="shared" si="39"/>
        <v>33</v>
      </c>
      <c r="H416" t="s">
        <v>620</v>
      </c>
      <c r="I416" t="str">
        <f t="shared" si="40"/>
        <v>https://hl7.org/cda/us/ccda/Binary-problem-concern-act-example.html</v>
      </c>
      <c r="J416" t="s">
        <v>1515</v>
      </c>
      <c r="K416" t="str">
        <f t="shared" si="41"/>
        <v>{ file:'2.16.840.1.113883.10.20.22.4.119.html', href:'https://hl7.org/cda/us/ccda/Binary-problem-concern-act-example.html', text:'problem-concern-act-example' },</v>
      </c>
    </row>
    <row r="417" spans="1:11" x14ac:dyDescent="0.25">
      <c r="A417" t="s">
        <v>1294</v>
      </c>
      <c r="B417" t="s">
        <v>117</v>
      </c>
      <c r="C417">
        <f t="shared" si="36"/>
        <v>13</v>
      </c>
      <c r="D417">
        <f t="shared" si="37"/>
        <v>51</v>
      </c>
      <c r="E417">
        <f t="shared" si="38"/>
        <v>51</v>
      </c>
      <c r="F417" t="s">
        <v>365</v>
      </c>
      <c r="G417">
        <f t="shared" si="39"/>
        <v>31</v>
      </c>
      <c r="H417" t="s">
        <v>613</v>
      </c>
      <c r="I417" t="str">
        <f t="shared" si="40"/>
        <v>https://hl7.org/cda/us/ccda/Binary-problem-observation-example.html</v>
      </c>
      <c r="J417" t="s">
        <v>1516</v>
      </c>
      <c r="K417" t="str">
        <f t="shared" si="41"/>
        <v>{ file:'2.16.840.1.113883.10.20.22.4.4.html', href:'https://hl7.org/cda/us/ccda/Binary-problem-observation-example.html', text:'problem-observation-example' },</v>
      </c>
    </row>
    <row r="418" spans="1:11" x14ac:dyDescent="0.25">
      <c r="A418" t="s">
        <v>1294</v>
      </c>
      <c r="B418" t="s">
        <v>124</v>
      </c>
      <c r="C418">
        <f t="shared" si="36"/>
        <v>13</v>
      </c>
      <c r="D418" t="e">
        <f t="shared" si="37"/>
        <v>#VALUE!</v>
      </c>
      <c r="E418">
        <f t="shared" si="38"/>
        <v>100</v>
      </c>
      <c r="F418" t="s">
        <v>372</v>
      </c>
      <c r="G418">
        <f t="shared" si="39"/>
        <v>33</v>
      </c>
      <c r="H418" t="s">
        <v>620</v>
      </c>
      <c r="I418" t="str">
        <f t="shared" si="40"/>
        <v>https://hl7.org/cda/us/ccda/Binary-problem-observation-example.html</v>
      </c>
      <c r="J418" t="s">
        <v>1516</v>
      </c>
      <c r="K418" t="str">
        <f t="shared" si="41"/>
        <v>{ file:'2.16.840.1.113883.10.20.22.4.119.html', href:'https://hl7.org/cda/us/ccda/Binary-problem-observation-example.html', text:'problem-observation-example' },</v>
      </c>
    </row>
    <row r="419" spans="1:11" x14ac:dyDescent="0.25">
      <c r="A419" t="s">
        <v>1295</v>
      </c>
      <c r="B419" t="s">
        <v>117</v>
      </c>
      <c r="C419">
        <f t="shared" si="36"/>
        <v>13</v>
      </c>
      <c r="D419">
        <f t="shared" si="37"/>
        <v>51</v>
      </c>
      <c r="E419">
        <f t="shared" si="38"/>
        <v>51</v>
      </c>
      <c r="F419" t="s">
        <v>365</v>
      </c>
      <c r="G419">
        <f t="shared" si="39"/>
        <v>31</v>
      </c>
      <c r="H419" t="s">
        <v>613</v>
      </c>
      <c r="I419" t="str">
        <f t="shared" si="40"/>
        <v>https://hl7.org/cda/us/ccda/Binary-problem-observation-postcoordsnomed-example.html</v>
      </c>
      <c r="J419" t="s">
        <v>1517</v>
      </c>
      <c r="K419" t="str">
        <f t="shared" si="41"/>
        <v>{ file:'2.16.840.1.113883.10.20.22.4.4.html', href:'https://hl7.org/cda/us/ccda/Binary-problem-observation-postcoordsnomed-example.html', text:'problem-observation-postcoordsnomed-example' },</v>
      </c>
    </row>
    <row r="420" spans="1:11" x14ac:dyDescent="0.25">
      <c r="A420" t="s">
        <v>1295</v>
      </c>
      <c r="B420" t="s">
        <v>124</v>
      </c>
      <c r="C420">
        <f t="shared" si="36"/>
        <v>13</v>
      </c>
      <c r="D420" t="e">
        <f t="shared" si="37"/>
        <v>#VALUE!</v>
      </c>
      <c r="E420">
        <f t="shared" si="38"/>
        <v>100</v>
      </c>
      <c r="F420" t="s">
        <v>372</v>
      </c>
      <c r="G420">
        <f t="shared" si="39"/>
        <v>33</v>
      </c>
      <c r="H420" t="s">
        <v>620</v>
      </c>
      <c r="I420" t="str">
        <f t="shared" si="40"/>
        <v>https://hl7.org/cda/us/ccda/Binary-problem-observation-postcoordsnomed-example.html</v>
      </c>
      <c r="J420" t="s">
        <v>1517</v>
      </c>
      <c r="K420" t="str">
        <f t="shared" si="41"/>
        <v>{ file:'2.16.840.1.113883.10.20.22.4.119.html', href:'https://hl7.org/cda/us/ccda/Binary-problem-observation-postcoordsnomed-example.html', text:'problem-observation-postcoordsnomed-example' },</v>
      </c>
    </row>
    <row r="421" spans="1:11" x14ac:dyDescent="0.25">
      <c r="A421" t="s">
        <v>1296</v>
      </c>
      <c r="B421" t="s">
        <v>254</v>
      </c>
      <c r="C421">
        <f t="shared" si="36"/>
        <v>13</v>
      </c>
      <c r="D421">
        <f t="shared" si="37"/>
        <v>53</v>
      </c>
      <c r="E421">
        <f t="shared" si="38"/>
        <v>53</v>
      </c>
      <c r="F421" t="s">
        <v>417</v>
      </c>
      <c r="G421">
        <f t="shared" si="39"/>
        <v>33</v>
      </c>
      <c r="H421" t="s">
        <v>663</v>
      </c>
      <c r="I421" t="str">
        <f t="shared" si="40"/>
        <v>https://hl7.org/cda/us/ccda/Binary-problem-section-example.html</v>
      </c>
      <c r="J421" t="s">
        <v>1518</v>
      </c>
      <c r="K421" t="str">
        <f t="shared" si="41"/>
        <v>{ file:'2.16.840.1.113883.10.20.22.2.5.1.html', href:'https://hl7.org/cda/us/ccda/Binary-problem-section-example.html', text:'problem-section-example' },</v>
      </c>
    </row>
    <row r="422" spans="1:11" x14ac:dyDescent="0.25">
      <c r="A422" t="s">
        <v>1296</v>
      </c>
      <c r="B422" t="s">
        <v>303</v>
      </c>
      <c r="C422">
        <f t="shared" si="36"/>
        <v>16</v>
      </c>
      <c r="D422" t="e">
        <f t="shared" si="37"/>
        <v>#VALUE!</v>
      </c>
      <c r="E422">
        <f t="shared" si="38"/>
        <v>100</v>
      </c>
      <c r="F422" t="s">
        <v>559</v>
      </c>
      <c r="G422">
        <f t="shared" si="39"/>
        <v>31</v>
      </c>
      <c r="H422" t="s">
        <v>757</v>
      </c>
      <c r="I422" t="str">
        <f t="shared" si="40"/>
        <v>https://hl7.org/cda/us/ccda/Binary-problem-section-example.html</v>
      </c>
      <c r="J422" t="s">
        <v>1518</v>
      </c>
      <c r="K422" t="str">
        <f t="shared" si="41"/>
        <v>{ file:'2.16.840.1.113883.10.20.22.4.3.html', href:'https://hl7.org/cda/us/ccda/Binary-problem-section-example.html', text:'problem-section-example' },</v>
      </c>
    </row>
    <row r="423" spans="1:11" x14ac:dyDescent="0.25">
      <c r="A423" t="s">
        <v>1296</v>
      </c>
      <c r="B423" t="s">
        <v>132</v>
      </c>
      <c r="C423">
        <f t="shared" si="36"/>
        <v>16</v>
      </c>
      <c r="D423" t="e">
        <f t="shared" si="37"/>
        <v>#VALUE!</v>
      </c>
      <c r="E423">
        <f t="shared" si="38"/>
        <v>100</v>
      </c>
      <c r="F423" t="s">
        <v>372</v>
      </c>
      <c r="G423">
        <f t="shared" si="39"/>
        <v>33</v>
      </c>
      <c r="H423" t="s">
        <v>620</v>
      </c>
      <c r="I423" t="str">
        <f t="shared" si="40"/>
        <v>https://hl7.org/cda/us/ccda/Binary-problem-section-example.html</v>
      </c>
      <c r="J423" t="s">
        <v>1518</v>
      </c>
      <c r="K423" t="str">
        <f t="shared" si="41"/>
        <v>{ file:'2.16.840.1.113883.10.20.22.4.119.html', href:'https://hl7.org/cda/us/ccda/Binary-problem-section-example.html', text:'problem-section-example' },</v>
      </c>
    </row>
    <row r="424" spans="1:11" x14ac:dyDescent="0.25">
      <c r="A424" t="s">
        <v>1296</v>
      </c>
      <c r="B424" t="s">
        <v>300</v>
      </c>
      <c r="C424">
        <f t="shared" si="36"/>
        <v>18</v>
      </c>
      <c r="D424">
        <f t="shared" si="37"/>
        <v>56</v>
      </c>
      <c r="E424">
        <f t="shared" si="38"/>
        <v>56</v>
      </c>
      <c r="F424" t="s">
        <v>365</v>
      </c>
      <c r="G424">
        <f t="shared" si="39"/>
        <v>31</v>
      </c>
      <c r="H424" t="s">
        <v>613</v>
      </c>
      <c r="I424" t="str">
        <f t="shared" si="40"/>
        <v>https://hl7.org/cda/us/ccda/Binary-problem-section-example.html</v>
      </c>
      <c r="J424" t="s">
        <v>1518</v>
      </c>
      <c r="K424" t="str">
        <f t="shared" si="41"/>
        <v>{ file:'2.16.840.1.113883.10.20.22.4.4.html', href:'https://hl7.org/cda/us/ccda/Binary-problem-section-example.html', text:'problem-section-example' },</v>
      </c>
    </row>
    <row r="425" spans="1:11" x14ac:dyDescent="0.25">
      <c r="A425" t="s">
        <v>1296</v>
      </c>
      <c r="B425" t="s">
        <v>301</v>
      </c>
      <c r="C425">
        <f t="shared" si="36"/>
        <v>18</v>
      </c>
      <c r="D425" t="e">
        <f t="shared" si="37"/>
        <v>#VALUE!</v>
      </c>
      <c r="E425">
        <f t="shared" si="38"/>
        <v>100</v>
      </c>
      <c r="F425" t="s">
        <v>372</v>
      </c>
      <c r="G425">
        <f t="shared" si="39"/>
        <v>33</v>
      </c>
      <c r="H425" t="s">
        <v>620</v>
      </c>
      <c r="I425" t="str">
        <f t="shared" si="40"/>
        <v>https://hl7.org/cda/us/ccda/Binary-problem-section-example.html</v>
      </c>
      <c r="J425" t="s">
        <v>1518</v>
      </c>
      <c r="K425" t="str">
        <f t="shared" si="41"/>
        <v>{ file:'2.16.840.1.113883.10.20.22.4.119.html', href:'https://hl7.org/cda/us/ccda/Binary-problem-section-example.html', text:'problem-section-example' },</v>
      </c>
    </row>
    <row r="426" spans="1:11" x14ac:dyDescent="0.25">
      <c r="A426" t="s">
        <v>1297</v>
      </c>
      <c r="B426" t="s">
        <v>228</v>
      </c>
      <c r="C426">
        <f t="shared" si="36"/>
        <v>13</v>
      </c>
      <c r="D426">
        <f t="shared" si="37"/>
        <v>52</v>
      </c>
      <c r="E426">
        <f t="shared" si="38"/>
        <v>52</v>
      </c>
      <c r="F426" t="s">
        <v>385</v>
      </c>
      <c r="G426">
        <f t="shared" si="39"/>
        <v>32</v>
      </c>
      <c r="H426" t="s">
        <v>632</v>
      </c>
      <c r="I426" t="str">
        <f t="shared" si="40"/>
        <v>https://hl7.org/cda/us/ccda/Binary-procedure-activity-procedure-example.html</v>
      </c>
      <c r="J426" t="s">
        <v>1519</v>
      </c>
      <c r="K426" t="str">
        <f t="shared" si="41"/>
        <v>{ file:'2.16.840.1.113883.10.20.22.4.14.html', href:'https://hl7.org/cda/us/ccda/Binary-procedure-activity-procedure-example.html', text:'procedure-activity-procedure-example' },</v>
      </c>
    </row>
    <row r="427" spans="1:11" x14ac:dyDescent="0.25">
      <c r="A427" t="s">
        <v>1298</v>
      </c>
      <c r="B427" t="s">
        <v>30</v>
      </c>
      <c r="C427">
        <f t="shared" si="36"/>
        <v>13</v>
      </c>
      <c r="D427" t="e">
        <f t="shared" si="37"/>
        <v>#VALUE!</v>
      </c>
      <c r="E427">
        <f t="shared" si="38"/>
        <v>100</v>
      </c>
      <c r="F427" t="s">
        <v>532</v>
      </c>
      <c r="G427">
        <f t="shared" si="39"/>
        <v>32</v>
      </c>
      <c r="H427" t="s">
        <v>772</v>
      </c>
      <c r="I427" t="str">
        <f t="shared" si="40"/>
        <v>https://hl7.org/cda/us/ccda/Binary-procedure-description-section-example.html</v>
      </c>
      <c r="J427" t="s">
        <v>1520</v>
      </c>
      <c r="K427" t="str">
        <f t="shared" si="41"/>
        <v>{ file:'2.16.840.1.113883.10.20.22.2.27.html', href:'https://hl7.org/cda/us/ccda/Binary-procedure-description-section-example.html', text:'procedure-description-section-example' },</v>
      </c>
    </row>
    <row r="428" spans="1:11" x14ac:dyDescent="0.25">
      <c r="A428" t="s">
        <v>1299</v>
      </c>
      <c r="B428" t="s">
        <v>304</v>
      </c>
      <c r="C428">
        <f t="shared" si="36"/>
        <v>13</v>
      </c>
      <c r="D428" t="e">
        <f t="shared" si="37"/>
        <v>#VALUE!</v>
      </c>
      <c r="E428">
        <f t="shared" si="38"/>
        <v>100</v>
      </c>
      <c r="F428" t="s">
        <v>560</v>
      </c>
      <c r="G428">
        <f t="shared" si="39"/>
        <v>32</v>
      </c>
      <c r="H428" t="s">
        <v>793</v>
      </c>
      <c r="I428" t="str">
        <f t="shared" si="40"/>
        <v>https://hl7.org/cda/us/ccda/Binary-procedure-disposition-section-example.html</v>
      </c>
      <c r="J428" t="s">
        <v>1521</v>
      </c>
      <c r="K428" t="str">
        <f t="shared" si="41"/>
        <v>{ file:'2.16.840.1.113883.10.20.18.2.12.html', href:'https://hl7.org/cda/us/ccda/Binary-procedure-disposition-section-example.html', text:'procedure-disposition-section-example' },</v>
      </c>
    </row>
    <row r="429" spans="1:11" x14ac:dyDescent="0.25">
      <c r="A429" t="s">
        <v>1300</v>
      </c>
      <c r="B429" t="s">
        <v>27</v>
      </c>
      <c r="C429">
        <f t="shared" si="36"/>
        <v>13</v>
      </c>
      <c r="D429" t="e">
        <f t="shared" si="37"/>
        <v>#VALUE!</v>
      </c>
      <c r="E429">
        <f t="shared" si="38"/>
        <v>100</v>
      </c>
      <c r="F429" t="s">
        <v>529</v>
      </c>
      <c r="G429">
        <f t="shared" si="39"/>
        <v>31</v>
      </c>
      <c r="H429" t="s">
        <v>769</v>
      </c>
      <c r="I429" t="str">
        <f t="shared" si="40"/>
        <v>https://hl7.org/cda/us/ccda/Binary-procedure-estimated-blood-loss-section-example.html</v>
      </c>
      <c r="J429" t="s">
        <v>1522</v>
      </c>
      <c r="K429" t="str">
        <f t="shared" si="41"/>
        <v>{ file:'2.16.840.1.113883.10.20.18.2.9.html', href:'https://hl7.org/cda/us/ccda/Binary-procedure-estimated-blood-loss-section-example.html', text:'procedure-estimated-blood-loss-section-example' },</v>
      </c>
    </row>
    <row r="430" spans="1:11" x14ac:dyDescent="0.25">
      <c r="A430" t="s">
        <v>1301</v>
      </c>
      <c r="B430" t="s">
        <v>28</v>
      </c>
      <c r="C430">
        <f t="shared" si="36"/>
        <v>13</v>
      </c>
      <c r="D430">
        <f t="shared" si="37"/>
        <v>52</v>
      </c>
      <c r="E430">
        <f t="shared" si="38"/>
        <v>52</v>
      </c>
      <c r="F430" t="s">
        <v>530</v>
      </c>
      <c r="G430">
        <f t="shared" si="39"/>
        <v>32</v>
      </c>
      <c r="H430" t="s">
        <v>770</v>
      </c>
      <c r="I430" t="str">
        <f t="shared" si="40"/>
        <v>https://hl7.org/cda/us/ccda/Binary-procedure-findings-section-example.html</v>
      </c>
      <c r="J430" t="s">
        <v>1523</v>
      </c>
      <c r="K430" t="str">
        <f t="shared" si="41"/>
        <v>{ file:'2.16.840.1.113883.10.20.22.2.28.html', href:'https://hl7.org/cda/us/ccda/Binary-procedure-findings-section-example.html', text:'procedure-findings-section-example' },</v>
      </c>
    </row>
    <row r="431" spans="1:11" x14ac:dyDescent="0.25">
      <c r="A431" t="s">
        <v>1301</v>
      </c>
      <c r="B431" t="s">
        <v>117</v>
      </c>
      <c r="C431">
        <f t="shared" si="36"/>
        <v>13</v>
      </c>
      <c r="D431">
        <f t="shared" si="37"/>
        <v>51</v>
      </c>
      <c r="E431">
        <f t="shared" si="38"/>
        <v>51</v>
      </c>
      <c r="F431" t="s">
        <v>365</v>
      </c>
      <c r="G431">
        <f t="shared" si="39"/>
        <v>31</v>
      </c>
      <c r="H431" t="s">
        <v>613</v>
      </c>
      <c r="I431" t="str">
        <f t="shared" si="40"/>
        <v>https://hl7.org/cda/us/ccda/Binary-procedure-findings-section-example.html</v>
      </c>
      <c r="J431" t="s">
        <v>1523</v>
      </c>
      <c r="K431" t="str">
        <f t="shared" si="41"/>
        <v>{ file:'2.16.840.1.113883.10.20.22.4.4.html', href:'https://hl7.org/cda/us/ccda/Binary-procedure-findings-section-example.html', text:'procedure-findings-section-example' },</v>
      </c>
    </row>
    <row r="432" spans="1:11" x14ac:dyDescent="0.25">
      <c r="A432" t="s">
        <v>1302</v>
      </c>
      <c r="B432" t="s">
        <v>305</v>
      </c>
      <c r="C432">
        <f t="shared" si="36"/>
        <v>13</v>
      </c>
      <c r="D432" t="e">
        <f t="shared" si="37"/>
        <v>#VALUE!</v>
      </c>
      <c r="E432">
        <f t="shared" si="38"/>
        <v>100</v>
      </c>
      <c r="F432" t="s">
        <v>561</v>
      </c>
      <c r="G432">
        <f t="shared" si="39"/>
        <v>32</v>
      </c>
      <c r="H432" t="s">
        <v>794</v>
      </c>
      <c r="I432" t="str">
        <f t="shared" si="40"/>
        <v>https://hl7.org/cda/us/ccda/Binary-procedure-implants-section-example.html</v>
      </c>
      <c r="J432" t="s">
        <v>1524</v>
      </c>
      <c r="K432" t="str">
        <f t="shared" si="41"/>
        <v>{ file:'2.16.840.1.113883.10.20.22.2.40.html', href:'https://hl7.org/cda/us/ccda/Binary-procedure-implants-section-example.html', text:'procedure-implants-section-example' },</v>
      </c>
    </row>
    <row r="433" spans="1:11" x14ac:dyDescent="0.25">
      <c r="A433" t="s">
        <v>1303</v>
      </c>
      <c r="B433" t="s">
        <v>33</v>
      </c>
      <c r="C433">
        <f t="shared" si="36"/>
        <v>13</v>
      </c>
      <c r="D433">
        <f t="shared" si="37"/>
        <v>52</v>
      </c>
      <c r="E433">
        <f t="shared" si="38"/>
        <v>52</v>
      </c>
      <c r="F433" t="s">
        <v>562</v>
      </c>
      <c r="G433">
        <f t="shared" si="39"/>
        <v>32</v>
      </c>
      <c r="H433" t="s">
        <v>795</v>
      </c>
      <c r="I433" t="str">
        <f t="shared" si="40"/>
        <v>https://hl7.org/cda/us/ccda/Binary-procedure-indications-section-example.html</v>
      </c>
      <c r="J433" t="s">
        <v>1525</v>
      </c>
      <c r="K433" t="str">
        <f t="shared" si="41"/>
        <v>{ file:'2.16.840.1.113883.10.20.22.2.29.html', href:'https://hl7.org/cda/us/ccda/Binary-procedure-indications-section-example.html', text:'procedure-indications-section-example' },</v>
      </c>
    </row>
    <row r="434" spans="1:11" x14ac:dyDescent="0.25">
      <c r="A434" t="s">
        <v>1303</v>
      </c>
      <c r="B434" t="s">
        <v>181</v>
      </c>
      <c r="C434">
        <f t="shared" si="36"/>
        <v>13</v>
      </c>
      <c r="D434">
        <f t="shared" si="37"/>
        <v>52</v>
      </c>
      <c r="E434">
        <f t="shared" si="38"/>
        <v>52</v>
      </c>
      <c r="F434" t="s">
        <v>456</v>
      </c>
      <c r="G434">
        <f t="shared" si="39"/>
        <v>32</v>
      </c>
      <c r="H434" t="s">
        <v>702</v>
      </c>
      <c r="I434" t="str">
        <f t="shared" si="40"/>
        <v>https://hl7.org/cda/us/ccda/Binary-procedure-indications-section-example.html</v>
      </c>
      <c r="J434" t="s">
        <v>1525</v>
      </c>
      <c r="K434" t="str">
        <f t="shared" si="41"/>
        <v>{ file:'2.16.840.1.113883.10.20.22.4.19.html', href:'https://hl7.org/cda/us/ccda/Binary-procedure-indications-section-example.html', text:'procedure-indications-section-example' },</v>
      </c>
    </row>
    <row r="435" spans="1:11" x14ac:dyDescent="0.25">
      <c r="A435" t="s">
        <v>1304</v>
      </c>
      <c r="B435" t="s">
        <v>60</v>
      </c>
      <c r="C435">
        <f t="shared" si="36"/>
        <v>14</v>
      </c>
      <c r="D435">
        <f t="shared" si="37"/>
        <v>52</v>
      </c>
      <c r="E435">
        <f t="shared" si="38"/>
        <v>52</v>
      </c>
      <c r="F435" t="s">
        <v>400</v>
      </c>
      <c r="G435">
        <f t="shared" si="39"/>
        <v>31</v>
      </c>
      <c r="H435" t="s">
        <v>646</v>
      </c>
      <c r="I435" t="str">
        <f t="shared" si="40"/>
        <v>https://hl7.org/cda/us/ccda/Binary-procedure-note-header-example.html</v>
      </c>
      <c r="J435" t="s">
        <v>1526</v>
      </c>
      <c r="K435" t="str">
        <f t="shared" si="41"/>
        <v>{ file:'2.16.840.1.113883.10.20.22.1.1.html', href:'https://hl7.org/cda/us/ccda/Binary-procedure-note-header-example.html', text:'procedure-note-header-example' },</v>
      </c>
    </row>
    <row r="436" spans="1:11" x14ac:dyDescent="0.25">
      <c r="A436" t="s">
        <v>1304</v>
      </c>
      <c r="B436" t="s">
        <v>101</v>
      </c>
      <c r="C436">
        <f t="shared" si="36"/>
        <v>14</v>
      </c>
      <c r="D436">
        <f t="shared" si="37"/>
        <v>52</v>
      </c>
      <c r="E436">
        <f t="shared" si="38"/>
        <v>52</v>
      </c>
      <c r="F436" t="s">
        <v>563</v>
      </c>
      <c r="G436">
        <f t="shared" si="39"/>
        <v>31</v>
      </c>
      <c r="H436" t="s">
        <v>796</v>
      </c>
      <c r="I436" t="str">
        <f t="shared" si="40"/>
        <v>https://hl7.org/cda/us/ccda/Binary-procedure-note-header-example.html</v>
      </c>
      <c r="J436" t="s">
        <v>1526</v>
      </c>
      <c r="K436" t="str">
        <f t="shared" si="41"/>
        <v>{ file:'2.16.840.1.113883.10.20.22.1.6.html', href:'https://hl7.org/cda/us/ccda/Binary-procedure-note-header-example.html', text:'procedure-note-header-example' },</v>
      </c>
    </row>
    <row r="437" spans="1:11" x14ac:dyDescent="0.25">
      <c r="A437" t="s">
        <v>1304</v>
      </c>
      <c r="B437" t="s">
        <v>90</v>
      </c>
      <c r="C437">
        <f t="shared" si="36"/>
        <v>18</v>
      </c>
      <c r="D437">
        <f t="shared" si="37"/>
        <v>57</v>
      </c>
      <c r="E437">
        <f t="shared" si="38"/>
        <v>57</v>
      </c>
      <c r="F437" t="s">
        <v>427</v>
      </c>
      <c r="G437">
        <f t="shared" si="39"/>
        <v>32</v>
      </c>
      <c r="H437" t="s">
        <v>673</v>
      </c>
      <c r="I437" t="str">
        <f t="shared" si="40"/>
        <v>https://hl7.org/cda/us/ccda/Binary-procedure-note-header-example.html</v>
      </c>
      <c r="J437" t="s">
        <v>1526</v>
      </c>
      <c r="K437" t="str">
        <f t="shared" si="41"/>
        <v>{ file:'2.16.840.1.113883.10.20.22.2.37.html', href:'https://hl7.org/cda/us/ccda/Binary-procedure-note-header-example.html', text:'procedure-note-header-example' },</v>
      </c>
    </row>
    <row r="438" spans="1:11" x14ac:dyDescent="0.25">
      <c r="A438" t="s">
        <v>1304</v>
      </c>
      <c r="B438" t="s">
        <v>95</v>
      </c>
      <c r="C438">
        <f t="shared" si="36"/>
        <v>18</v>
      </c>
      <c r="D438" t="e">
        <f t="shared" si="37"/>
        <v>#VALUE!</v>
      </c>
      <c r="E438">
        <f t="shared" si="38"/>
        <v>100</v>
      </c>
      <c r="F438" t="s">
        <v>532</v>
      </c>
      <c r="G438">
        <f t="shared" si="39"/>
        <v>32</v>
      </c>
      <c r="H438" t="s">
        <v>772</v>
      </c>
      <c r="I438" t="str">
        <f t="shared" si="40"/>
        <v>https://hl7.org/cda/us/ccda/Binary-procedure-note-header-example.html</v>
      </c>
      <c r="J438" t="s">
        <v>1526</v>
      </c>
      <c r="K438" t="str">
        <f t="shared" si="41"/>
        <v>{ file:'2.16.840.1.113883.10.20.22.2.27.html', href:'https://hl7.org/cda/us/ccda/Binary-procedure-note-header-example.html', text:'procedure-note-header-example' },</v>
      </c>
    </row>
    <row r="439" spans="1:11" x14ac:dyDescent="0.25">
      <c r="A439" t="s">
        <v>1304</v>
      </c>
      <c r="B439" t="s">
        <v>102</v>
      </c>
      <c r="C439">
        <f t="shared" si="36"/>
        <v>18</v>
      </c>
      <c r="D439">
        <f t="shared" si="37"/>
        <v>57</v>
      </c>
      <c r="E439">
        <f t="shared" si="38"/>
        <v>57</v>
      </c>
      <c r="F439" t="s">
        <v>562</v>
      </c>
      <c r="G439">
        <f t="shared" si="39"/>
        <v>32</v>
      </c>
      <c r="H439" t="s">
        <v>795</v>
      </c>
      <c r="I439" t="str">
        <f t="shared" si="40"/>
        <v>https://hl7.org/cda/us/ccda/Binary-procedure-note-header-example.html</v>
      </c>
      <c r="J439" t="s">
        <v>1526</v>
      </c>
      <c r="K439" t="str">
        <f t="shared" si="41"/>
        <v>{ file:'2.16.840.1.113883.10.20.22.2.29.html', href:'https://hl7.org/cda/us/ccda/Binary-procedure-note-header-example.html', text:'procedure-note-header-example' },</v>
      </c>
    </row>
    <row r="440" spans="1:11" x14ac:dyDescent="0.25">
      <c r="A440" t="s">
        <v>1304</v>
      </c>
      <c r="B440" t="s">
        <v>103</v>
      </c>
      <c r="C440">
        <f t="shared" si="36"/>
        <v>18</v>
      </c>
      <c r="D440">
        <f t="shared" si="37"/>
        <v>57</v>
      </c>
      <c r="E440">
        <f t="shared" si="38"/>
        <v>57</v>
      </c>
      <c r="F440" t="s">
        <v>554</v>
      </c>
      <c r="G440">
        <f t="shared" si="39"/>
        <v>32</v>
      </c>
      <c r="H440" t="s">
        <v>788</v>
      </c>
      <c r="I440" t="str">
        <f t="shared" si="40"/>
        <v>https://hl7.org/cda/us/ccda/Binary-procedure-note-header-example.html</v>
      </c>
      <c r="J440" t="s">
        <v>1526</v>
      </c>
      <c r="K440" t="str">
        <f t="shared" si="41"/>
        <v>{ file:'2.16.840.1.113883.10.20.22.2.36.html', href:'https://hl7.org/cda/us/ccda/Binary-procedure-note-header-example.html', text:'procedure-note-header-example' },</v>
      </c>
    </row>
    <row r="441" spans="1:11" x14ac:dyDescent="0.25">
      <c r="A441" t="s">
        <v>1304</v>
      </c>
      <c r="B441" t="s">
        <v>104</v>
      </c>
      <c r="C441">
        <f t="shared" si="36"/>
        <v>18</v>
      </c>
      <c r="D441">
        <f t="shared" si="37"/>
        <v>56</v>
      </c>
      <c r="E441">
        <f t="shared" si="38"/>
        <v>56</v>
      </c>
      <c r="F441" t="s">
        <v>387</v>
      </c>
      <c r="G441">
        <f t="shared" si="39"/>
        <v>31</v>
      </c>
      <c r="H441" t="s">
        <v>633</v>
      </c>
      <c r="I441" t="str">
        <f t="shared" si="40"/>
        <v>https://hl7.org/cda/us/ccda/Binary-procedure-note-header-example.html</v>
      </c>
      <c r="J441" t="s">
        <v>1526</v>
      </c>
      <c r="K441" t="str">
        <f t="shared" si="41"/>
        <v>{ file:'2.16.840.1.113883.10.20.22.2.9.html', href:'https://hl7.org/cda/us/ccda/Binary-procedure-note-header-example.html', text:'procedure-note-header-example' },</v>
      </c>
    </row>
    <row r="442" spans="1:11" x14ac:dyDescent="0.25">
      <c r="A442" t="s">
        <v>1305</v>
      </c>
      <c r="B442" t="s">
        <v>29</v>
      </c>
      <c r="C442">
        <f t="shared" si="36"/>
        <v>13</v>
      </c>
      <c r="D442" t="e">
        <f t="shared" si="37"/>
        <v>#VALUE!</v>
      </c>
      <c r="E442">
        <f t="shared" si="38"/>
        <v>100</v>
      </c>
      <c r="F442" t="s">
        <v>531</v>
      </c>
      <c r="G442">
        <f t="shared" si="39"/>
        <v>32</v>
      </c>
      <c r="H442" t="s">
        <v>771</v>
      </c>
      <c r="I442" t="str">
        <f t="shared" si="40"/>
        <v>https://hl7.org/cda/us/ccda/Binary-procedure-specimens-taken-section-example.html</v>
      </c>
      <c r="J442" t="s">
        <v>1527</v>
      </c>
      <c r="K442" t="str">
        <f t="shared" si="41"/>
        <v>{ file:'2.16.840.1.113883.10.20.22.2.31.html', href:'https://hl7.org/cda/us/ccda/Binary-procedure-specimens-taken-section-example.html', text:'procedure-specimens-taken-section-example' },</v>
      </c>
    </row>
    <row r="443" spans="1:11" x14ac:dyDescent="0.25">
      <c r="A443" t="s">
        <v>1306</v>
      </c>
      <c r="B443" t="s">
        <v>18</v>
      </c>
      <c r="C443">
        <f t="shared" si="36"/>
        <v>13</v>
      </c>
      <c r="D443">
        <f t="shared" si="37"/>
        <v>53</v>
      </c>
      <c r="E443">
        <f t="shared" si="38"/>
        <v>53</v>
      </c>
      <c r="F443" t="s">
        <v>451</v>
      </c>
      <c r="G443">
        <f t="shared" si="39"/>
        <v>33</v>
      </c>
      <c r="H443" t="s">
        <v>697</v>
      </c>
      <c r="I443" t="str">
        <f t="shared" si="40"/>
        <v>https://hl7.org/cda/us/ccda/Binary-procedures-section-example.html</v>
      </c>
      <c r="J443" t="s">
        <v>1528</v>
      </c>
      <c r="K443" t="str">
        <f t="shared" si="41"/>
        <v>{ file:'2.16.840.1.113883.10.20.22.2.7.1.html', href:'https://hl7.org/cda/us/ccda/Binary-procedures-section-example.html', text:'procedures-section-example' },</v>
      </c>
    </row>
    <row r="444" spans="1:11" x14ac:dyDescent="0.25">
      <c r="A444" t="s">
        <v>1306</v>
      </c>
      <c r="B444" t="s">
        <v>259</v>
      </c>
      <c r="C444">
        <f t="shared" si="36"/>
        <v>16</v>
      </c>
      <c r="D444">
        <f t="shared" si="37"/>
        <v>55</v>
      </c>
      <c r="E444">
        <f t="shared" si="38"/>
        <v>55</v>
      </c>
      <c r="F444" t="s">
        <v>385</v>
      </c>
      <c r="G444">
        <f t="shared" si="39"/>
        <v>32</v>
      </c>
      <c r="H444" t="s">
        <v>632</v>
      </c>
      <c r="I444" t="str">
        <f t="shared" si="40"/>
        <v>https://hl7.org/cda/us/ccda/Binary-procedures-section-example.html</v>
      </c>
      <c r="J444" t="s">
        <v>1528</v>
      </c>
      <c r="K444" t="str">
        <f t="shared" si="41"/>
        <v>{ file:'2.16.840.1.113883.10.20.22.4.14.html', href:'https://hl7.org/cda/us/ccda/Binary-procedures-section-example.html', text:'procedures-section-example' },</v>
      </c>
    </row>
    <row r="445" spans="1:11" x14ac:dyDescent="0.25">
      <c r="A445" t="s">
        <v>1307</v>
      </c>
      <c r="B445" t="s">
        <v>306</v>
      </c>
      <c r="C445">
        <f t="shared" si="36"/>
        <v>13</v>
      </c>
      <c r="D445" t="e">
        <f t="shared" si="37"/>
        <v>#VALUE!</v>
      </c>
      <c r="E445">
        <f t="shared" si="38"/>
        <v>100</v>
      </c>
      <c r="F445" t="s">
        <v>564</v>
      </c>
      <c r="G445">
        <f t="shared" si="39"/>
        <v>32</v>
      </c>
      <c r="H445" t="s">
        <v>746</v>
      </c>
      <c r="I445" t="str">
        <f t="shared" si="40"/>
        <v>https://hl7.org/cda/us/ccda/Binary-product-instance-example.html</v>
      </c>
      <c r="J445" t="s">
        <v>1529</v>
      </c>
      <c r="K445" t="str">
        <f t="shared" si="41"/>
        <v>{ file:'2.16.840.1.113883.10.20.22.4.37.html', href:'https://hl7.org/cda/us/ccda/Binary-product-instance-example.html', text:'product-instance-example' },</v>
      </c>
    </row>
    <row r="446" spans="1:11" x14ac:dyDescent="0.25">
      <c r="A446" t="s">
        <v>1308</v>
      </c>
      <c r="B446" t="s">
        <v>307</v>
      </c>
      <c r="C446">
        <f t="shared" si="36"/>
        <v>13</v>
      </c>
      <c r="D446" t="e">
        <f t="shared" si="37"/>
        <v>#VALUE!</v>
      </c>
      <c r="E446">
        <f t="shared" si="38"/>
        <v>100</v>
      </c>
      <c r="F446" t="s">
        <v>565</v>
      </c>
      <c r="G446">
        <f t="shared" si="39"/>
        <v>33</v>
      </c>
      <c r="H446" t="s">
        <v>797</v>
      </c>
      <c r="I446" t="str">
        <f t="shared" si="40"/>
        <v>https://hl7.org/cda/us/ccda/Binary-prognosis-coded-example.html</v>
      </c>
      <c r="J446" t="s">
        <v>1530</v>
      </c>
      <c r="K446" t="str">
        <f t="shared" si="41"/>
        <v>{ file:'2.16.840.1.113883.10.20.22.4.113.html', href:'https://hl7.org/cda/us/ccda/Binary-prognosis-coded-example.html', text:'prognosis-coded-example' },</v>
      </c>
    </row>
    <row r="447" spans="1:11" x14ac:dyDescent="0.25">
      <c r="A447" t="s">
        <v>1309</v>
      </c>
      <c r="B447" t="s">
        <v>307</v>
      </c>
      <c r="C447">
        <f t="shared" si="36"/>
        <v>13</v>
      </c>
      <c r="D447" t="e">
        <f t="shared" si="37"/>
        <v>#VALUE!</v>
      </c>
      <c r="E447">
        <f t="shared" si="38"/>
        <v>100</v>
      </c>
      <c r="F447" t="s">
        <v>565</v>
      </c>
      <c r="G447">
        <f t="shared" si="39"/>
        <v>33</v>
      </c>
      <c r="H447" t="s">
        <v>797</v>
      </c>
      <c r="I447" t="str">
        <f t="shared" si="40"/>
        <v>https://hl7.org/cda/us/ccda/Binary-prognosis-free-text-example.html</v>
      </c>
      <c r="J447" t="s">
        <v>1531</v>
      </c>
      <c r="K447" t="str">
        <f t="shared" si="41"/>
        <v>{ file:'2.16.840.1.113883.10.20.22.4.113.html', href:'https://hl7.org/cda/us/ccda/Binary-prognosis-free-text-example.html', text:'prognosis-free-text-example' },</v>
      </c>
    </row>
    <row r="448" spans="1:11" x14ac:dyDescent="0.25">
      <c r="A448" t="s">
        <v>1310</v>
      </c>
      <c r="B448" t="s">
        <v>60</v>
      </c>
      <c r="C448">
        <f t="shared" si="36"/>
        <v>14</v>
      </c>
      <c r="D448">
        <f t="shared" si="37"/>
        <v>52</v>
      </c>
      <c r="E448">
        <f t="shared" si="38"/>
        <v>52</v>
      </c>
      <c r="F448" t="s">
        <v>400</v>
      </c>
      <c r="G448">
        <f t="shared" si="39"/>
        <v>31</v>
      </c>
      <c r="H448" t="s">
        <v>646</v>
      </c>
      <c r="I448" t="str">
        <f t="shared" si="40"/>
        <v>https://hl7.org/cda/us/ccda/Binary-progress-note-header-example.html</v>
      </c>
      <c r="J448" t="s">
        <v>1532</v>
      </c>
      <c r="K448" t="str">
        <f t="shared" si="41"/>
        <v>{ file:'2.16.840.1.113883.10.20.22.1.1.html', href:'https://hl7.org/cda/us/ccda/Binary-progress-note-header-example.html', text:'progress-note-header-example' },</v>
      </c>
    </row>
    <row r="449" spans="1:11" x14ac:dyDescent="0.25">
      <c r="A449" t="s">
        <v>1310</v>
      </c>
      <c r="B449" t="s">
        <v>105</v>
      </c>
      <c r="C449">
        <f t="shared" si="36"/>
        <v>14</v>
      </c>
      <c r="D449">
        <f t="shared" si="37"/>
        <v>52</v>
      </c>
      <c r="E449">
        <f t="shared" si="38"/>
        <v>52</v>
      </c>
      <c r="F449" t="s">
        <v>566</v>
      </c>
      <c r="G449">
        <f t="shared" si="39"/>
        <v>31</v>
      </c>
      <c r="H449" t="s">
        <v>798</v>
      </c>
      <c r="I449" t="str">
        <f t="shared" si="40"/>
        <v>https://hl7.org/cda/us/ccda/Binary-progress-note-header-example.html</v>
      </c>
      <c r="J449" t="s">
        <v>1532</v>
      </c>
      <c r="K449" t="str">
        <f t="shared" si="41"/>
        <v>{ file:'2.16.840.1.113883.10.20.22.1.9.html', href:'https://hl7.org/cda/us/ccda/Binary-progress-note-header-example.html', text:'progress-note-header-example' },</v>
      </c>
    </row>
    <row r="450" spans="1:11" x14ac:dyDescent="0.25">
      <c r="A450" t="s">
        <v>1310</v>
      </c>
      <c r="B450" t="s">
        <v>106</v>
      </c>
      <c r="C450">
        <f t="shared" si="36"/>
        <v>16</v>
      </c>
      <c r="D450" t="e">
        <f t="shared" si="37"/>
        <v>#VALUE!</v>
      </c>
      <c r="E450">
        <f t="shared" si="38"/>
        <v>100</v>
      </c>
      <c r="F450" t="s">
        <v>567</v>
      </c>
      <c r="G450">
        <f t="shared" si="39"/>
        <v>31</v>
      </c>
      <c r="H450" t="s">
        <v>799</v>
      </c>
      <c r="I450" t="str">
        <f t="shared" si="40"/>
        <v>https://hl7.org/cda/us/ccda/Binary-progress-note-header-example.html</v>
      </c>
      <c r="J450" t="s">
        <v>1532</v>
      </c>
      <c r="K450" t="str">
        <f t="shared" si="41"/>
        <v>{ file:'2.16.840.1.113883.10.20.21.3.1.html', href:'https://hl7.org/cda/us/ccda/Binary-progress-note-header-example.html', text:'progress-note-header-example' },</v>
      </c>
    </row>
    <row r="451" spans="1:11" x14ac:dyDescent="0.25">
      <c r="A451" t="s">
        <v>1310</v>
      </c>
      <c r="B451" t="s">
        <v>104</v>
      </c>
      <c r="C451">
        <f t="shared" ref="C451:C514" si="42">FIND("root=",B451,1)</f>
        <v>18</v>
      </c>
      <c r="D451">
        <f t="shared" ref="D451:D514" si="43">FIND("extension",B451,1)</f>
        <v>56</v>
      </c>
      <c r="E451">
        <f t="shared" ref="E451:E514" si="44">IF(ISERR(D451),100,D451)</f>
        <v>56</v>
      </c>
      <c r="F451" t="s">
        <v>387</v>
      </c>
      <c r="G451">
        <f t="shared" ref="G451:G514" si="45">FIND("/",F451,1)</f>
        <v>31</v>
      </c>
      <c r="H451" t="s">
        <v>633</v>
      </c>
      <c r="I451" t="str">
        <f t="shared" ref="I451:I514" si="46">"https://hl7.org/cda/us/ccda/Binary-"&amp;A451&amp;".html"</f>
        <v>https://hl7.org/cda/us/ccda/Binary-progress-note-header-example.html</v>
      </c>
      <c r="J451" t="s">
        <v>1532</v>
      </c>
      <c r="K451" t="str">
        <f t="shared" ref="K451:K514" si="47">"{ file:'"&amp;H451&amp;".html', href:'"&amp;I451&amp;"', text:'"&amp;A451&amp;"' },"</f>
        <v>{ file:'2.16.840.1.113883.10.20.22.2.9.html', href:'https://hl7.org/cda/us/ccda/Binary-progress-note-header-example.html', text:'progress-note-header-example' },</v>
      </c>
    </row>
    <row r="452" spans="1:11" x14ac:dyDescent="0.25">
      <c r="A452" t="s">
        <v>1310</v>
      </c>
      <c r="B452" t="s">
        <v>308</v>
      </c>
      <c r="C452">
        <f t="shared" si="42"/>
        <v>18</v>
      </c>
      <c r="D452">
        <f t="shared" si="43"/>
        <v>57</v>
      </c>
      <c r="E452">
        <f t="shared" si="44"/>
        <v>57</v>
      </c>
      <c r="F452" t="s">
        <v>519</v>
      </c>
      <c r="G452">
        <f t="shared" si="45"/>
        <v>32</v>
      </c>
      <c r="H452" t="s">
        <v>759</v>
      </c>
      <c r="I452" t="str">
        <f t="shared" si="46"/>
        <v>https://hl7.org/cda/us/ccda/Binary-progress-note-header-example.html</v>
      </c>
      <c r="J452" t="s">
        <v>1532</v>
      </c>
      <c r="K452" t="str">
        <f t="shared" si="47"/>
        <v>{ file:'2.16.840.1.113883.10.20.22.2.65.html', href:'https://hl7.org/cda/us/ccda/Binary-progress-note-header-example.html', text:'progress-note-header-example' },</v>
      </c>
    </row>
    <row r="453" spans="1:11" x14ac:dyDescent="0.25">
      <c r="A453" t="s">
        <v>1310</v>
      </c>
      <c r="B453" t="s">
        <v>309</v>
      </c>
      <c r="C453">
        <f t="shared" si="42"/>
        <v>18</v>
      </c>
      <c r="D453">
        <f t="shared" si="43"/>
        <v>58</v>
      </c>
      <c r="E453">
        <f t="shared" si="44"/>
        <v>58</v>
      </c>
      <c r="F453" t="s">
        <v>518</v>
      </c>
      <c r="G453">
        <f t="shared" si="45"/>
        <v>33</v>
      </c>
      <c r="H453" t="s">
        <v>758</v>
      </c>
      <c r="I453" t="str">
        <f t="shared" si="46"/>
        <v>https://hl7.org/cda/us/ccda/Binary-progress-note-header-example.html</v>
      </c>
      <c r="J453" t="s">
        <v>1532</v>
      </c>
      <c r="K453" t="str">
        <f t="shared" si="47"/>
        <v>{ file:'2.16.840.1.113883.10.20.22.4.202.html', href:'https://hl7.org/cda/us/ccda/Binary-progress-note-header-example.html', text:'progress-note-header-example' },</v>
      </c>
    </row>
    <row r="454" spans="1:11" x14ac:dyDescent="0.25">
      <c r="A454" t="s">
        <v>1310</v>
      </c>
      <c r="B454" t="s">
        <v>301</v>
      </c>
      <c r="C454">
        <f t="shared" si="42"/>
        <v>18</v>
      </c>
      <c r="D454" t="e">
        <f t="shared" si="43"/>
        <v>#VALUE!</v>
      </c>
      <c r="E454">
        <f t="shared" si="44"/>
        <v>100</v>
      </c>
      <c r="F454" t="s">
        <v>372</v>
      </c>
      <c r="G454">
        <f t="shared" si="45"/>
        <v>33</v>
      </c>
      <c r="H454" t="s">
        <v>620</v>
      </c>
      <c r="I454" t="str">
        <f t="shared" si="46"/>
        <v>https://hl7.org/cda/us/ccda/Binary-progress-note-header-example.html</v>
      </c>
      <c r="J454" t="s">
        <v>1532</v>
      </c>
      <c r="K454" t="str">
        <f t="shared" si="47"/>
        <v>{ file:'2.16.840.1.113883.10.20.22.4.119.html', href:'https://hl7.org/cda/us/ccda/Binary-progress-note-header-example.html', text:'progress-note-header-example' },</v>
      </c>
    </row>
    <row r="455" spans="1:11" x14ac:dyDescent="0.25">
      <c r="A455" t="s">
        <v>1311</v>
      </c>
      <c r="B455" t="s">
        <v>310</v>
      </c>
      <c r="C455">
        <f t="shared" si="42"/>
        <v>13</v>
      </c>
      <c r="D455" t="e">
        <f t="shared" si="43"/>
        <v>#VALUE!</v>
      </c>
      <c r="E455">
        <f t="shared" si="44"/>
        <v>100</v>
      </c>
      <c r="F455" t="s">
        <v>568</v>
      </c>
      <c r="G455">
        <f t="shared" si="45"/>
        <v>31</v>
      </c>
      <c r="H455" t="s">
        <v>799</v>
      </c>
      <c r="I455" t="str">
        <f t="shared" si="46"/>
        <v>https://hl7.org/cda/us/ccda/Binary-progress-note-serviceevent-example.html</v>
      </c>
      <c r="J455" t="s">
        <v>1533</v>
      </c>
      <c r="K455" t="str">
        <f t="shared" si="47"/>
        <v>{ file:'2.16.840.1.113883.10.20.21.3.1.html', href:'https://hl7.org/cda/us/ccda/Binary-progress-note-serviceevent-example.html', text:'progress-note-serviceevent-example' },</v>
      </c>
    </row>
    <row r="456" spans="1:11" x14ac:dyDescent="0.25">
      <c r="A456" t="s">
        <v>1312</v>
      </c>
      <c r="B456" t="s">
        <v>311</v>
      </c>
      <c r="C456">
        <f t="shared" si="42"/>
        <v>13</v>
      </c>
      <c r="D456" t="e">
        <f t="shared" si="43"/>
        <v>#VALUE!</v>
      </c>
      <c r="E456">
        <f t="shared" si="44"/>
        <v>100</v>
      </c>
      <c r="F456" t="s">
        <v>569</v>
      </c>
      <c r="G456">
        <f t="shared" si="45"/>
        <v>33</v>
      </c>
      <c r="H456" t="s">
        <v>800</v>
      </c>
      <c r="I456" t="str">
        <f t="shared" si="46"/>
        <v>https://hl7.org/cda/us/ccda/Binary-progress-toward-goal-observation-example.html</v>
      </c>
      <c r="J456" t="s">
        <v>1534</v>
      </c>
      <c r="K456" t="str">
        <f t="shared" si="47"/>
        <v>{ file:'2.16.840.1.113883.10.20.22.4.110.html', href:'https://hl7.org/cda/us/ccda/Binary-progress-toward-goal-observation-example.html', text:'progress-toward-goal-observation-example' },</v>
      </c>
    </row>
    <row r="457" spans="1:11" x14ac:dyDescent="0.25">
      <c r="A457" t="s">
        <v>1313</v>
      </c>
      <c r="B457" t="s">
        <v>312</v>
      </c>
      <c r="C457">
        <f t="shared" si="42"/>
        <v>13</v>
      </c>
      <c r="D457">
        <f t="shared" si="43"/>
        <v>51</v>
      </c>
      <c r="E457">
        <f t="shared" si="44"/>
        <v>51</v>
      </c>
      <c r="F457" t="s">
        <v>570</v>
      </c>
      <c r="G457">
        <f t="shared" si="45"/>
        <v>31</v>
      </c>
      <c r="H457" t="s">
        <v>801</v>
      </c>
      <c r="I457" t="str">
        <f t="shared" si="46"/>
        <v>https://hl7.org/cda/us/ccda/Binary-provenance-assembler-participation-example.html</v>
      </c>
      <c r="J457" t="s">
        <v>1535</v>
      </c>
      <c r="K457" t="str">
        <f t="shared" si="47"/>
        <v>{ file:'2.16.840.1.113883.10.20.22.5.7.html', href:'https://hl7.org/cda/us/ccda/Binary-provenance-assembler-participation-example.html', text:'provenance-assembler-participation-example' },</v>
      </c>
    </row>
    <row r="458" spans="1:11" x14ac:dyDescent="0.25">
      <c r="A458" t="s">
        <v>1314</v>
      </c>
      <c r="B458" t="s">
        <v>122</v>
      </c>
      <c r="C458">
        <f t="shared" si="42"/>
        <v>13</v>
      </c>
      <c r="D458">
        <f t="shared" si="43"/>
        <v>51</v>
      </c>
      <c r="E458">
        <f t="shared" si="44"/>
        <v>51</v>
      </c>
      <c r="F458" t="s">
        <v>370</v>
      </c>
      <c r="G458">
        <f t="shared" si="45"/>
        <v>31</v>
      </c>
      <c r="H458" t="s">
        <v>618</v>
      </c>
      <c r="I458" t="str">
        <f t="shared" si="46"/>
        <v>https://hl7.org/cda/us/ccda/Binary-provenance-author-participation-example.html</v>
      </c>
      <c r="J458" t="s">
        <v>1536</v>
      </c>
      <c r="K458" t="str">
        <f t="shared" si="47"/>
        <v>{ file:'2.16.840.1.113883.10.20.22.5.6.html', href:'https://hl7.org/cda/us/ccda/Binary-provenance-author-participation-example.html', text:'provenance-author-participation-example' },</v>
      </c>
    </row>
    <row r="459" spans="1:11" x14ac:dyDescent="0.25">
      <c r="A459" t="s">
        <v>1314</v>
      </c>
      <c r="B459" t="s">
        <v>122</v>
      </c>
      <c r="C459">
        <f t="shared" si="42"/>
        <v>13</v>
      </c>
      <c r="D459">
        <f t="shared" si="43"/>
        <v>51</v>
      </c>
      <c r="E459">
        <f t="shared" si="44"/>
        <v>51</v>
      </c>
      <c r="F459" t="s">
        <v>370</v>
      </c>
      <c r="G459">
        <f t="shared" si="45"/>
        <v>31</v>
      </c>
      <c r="H459" t="s">
        <v>618</v>
      </c>
      <c r="I459" t="str">
        <f t="shared" si="46"/>
        <v>https://hl7.org/cda/us/ccda/Binary-provenance-author-participation-example.html</v>
      </c>
      <c r="J459" t="s">
        <v>1536</v>
      </c>
      <c r="K459" t="str">
        <f t="shared" si="47"/>
        <v>{ file:'2.16.840.1.113883.10.20.22.5.6.html', href:'https://hl7.org/cda/us/ccda/Binary-provenance-author-participation-example.html', text:'provenance-author-participation-example' },</v>
      </c>
    </row>
    <row r="460" spans="1:11" x14ac:dyDescent="0.25">
      <c r="A460" t="s">
        <v>1314</v>
      </c>
      <c r="B460" t="s">
        <v>122</v>
      </c>
      <c r="C460">
        <f t="shared" si="42"/>
        <v>13</v>
      </c>
      <c r="D460">
        <f t="shared" si="43"/>
        <v>51</v>
      </c>
      <c r="E460">
        <f t="shared" si="44"/>
        <v>51</v>
      </c>
      <c r="F460" t="s">
        <v>370</v>
      </c>
      <c r="G460">
        <f t="shared" si="45"/>
        <v>31</v>
      </c>
      <c r="H460" t="s">
        <v>618</v>
      </c>
      <c r="I460" t="str">
        <f t="shared" si="46"/>
        <v>https://hl7.org/cda/us/ccda/Binary-provenance-author-participation-example.html</v>
      </c>
      <c r="J460" t="s">
        <v>1536</v>
      </c>
      <c r="K460" t="str">
        <f t="shared" si="47"/>
        <v>{ file:'2.16.840.1.113883.10.20.22.5.6.html', href:'https://hl7.org/cda/us/ccda/Binary-provenance-author-participation-example.html', text:'provenance-author-participation-example' },</v>
      </c>
    </row>
    <row r="461" spans="1:11" x14ac:dyDescent="0.25">
      <c r="A461" t="s">
        <v>1315</v>
      </c>
      <c r="B461" t="s">
        <v>136</v>
      </c>
      <c r="C461">
        <f t="shared" si="42"/>
        <v>13</v>
      </c>
      <c r="D461">
        <f t="shared" si="43"/>
        <v>51</v>
      </c>
      <c r="E461">
        <f t="shared" si="44"/>
        <v>51</v>
      </c>
      <c r="F461" t="s">
        <v>380</v>
      </c>
      <c r="G461">
        <f t="shared" si="45"/>
        <v>31</v>
      </c>
      <c r="H461" t="s">
        <v>628</v>
      </c>
      <c r="I461" t="str">
        <f t="shared" si="46"/>
        <v>https://hl7.org/cda/us/ccda/Binary-reaction-observation-example.html</v>
      </c>
      <c r="J461" t="s">
        <v>1537</v>
      </c>
      <c r="K461" t="str">
        <f t="shared" si="47"/>
        <v>{ file:'2.16.840.1.113883.10.20.22.4.9.html', href:'https://hl7.org/cda/us/ccda/Binary-reaction-observation-example.html', text:'reaction-observation-example' },</v>
      </c>
    </row>
    <row r="462" spans="1:11" x14ac:dyDescent="0.25">
      <c r="A462" t="s">
        <v>1315</v>
      </c>
      <c r="B462" t="s">
        <v>137</v>
      </c>
      <c r="C462">
        <f t="shared" si="42"/>
        <v>13</v>
      </c>
      <c r="D462">
        <f t="shared" si="43"/>
        <v>51</v>
      </c>
      <c r="E462">
        <f t="shared" si="44"/>
        <v>51</v>
      </c>
      <c r="F462" t="s">
        <v>381</v>
      </c>
      <c r="G462">
        <f t="shared" si="45"/>
        <v>31</v>
      </c>
      <c r="H462" t="s">
        <v>629</v>
      </c>
      <c r="I462" t="str">
        <f t="shared" si="46"/>
        <v>https://hl7.org/cda/us/ccda/Binary-reaction-observation-example.html</v>
      </c>
      <c r="J462" t="s">
        <v>1537</v>
      </c>
      <c r="K462" t="str">
        <f t="shared" si="47"/>
        <v>{ file:'2.16.840.1.113883.10.20.22.4.8.html', href:'https://hl7.org/cda/us/ccda/Binary-reaction-observation-example.html', text:'reaction-observation-example' },</v>
      </c>
    </row>
    <row r="463" spans="1:11" x14ac:dyDescent="0.25">
      <c r="A463" t="s">
        <v>1316</v>
      </c>
      <c r="B463" t="s">
        <v>107</v>
      </c>
      <c r="C463">
        <f t="shared" si="42"/>
        <v>14</v>
      </c>
      <c r="D463">
        <f t="shared" si="43"/>
        <v>53</v>
      </c>
      <c r="E463">
        <f t="shared" si="44"/>
        <v>53</v>
      </c>
      <c r="F463" t="s">
        <v>571</v>
      </c>
      <c r="G463">
        <f t="shared" si="45"/>
        <v>32</v>
      </c>
      <c r="H463" t="s">
        <v>802</v>
      </c>
      <c r="I463" t="str">
        <f t="shared" si="46"/>
        <v>https://hl7.org/cda/us/ccda/Binary-reason-example.html</v>
      </c>
      <c r="J463" t="s">
        <v>1538</v>
      </c>
      <c r="K463" t="str">
        <f t="shared" si="47"/>
        <v>{ file:'2.16.840.1.113883.10.20.24.3.88.html', href:'https://hl7.org/cda/us/ccda/Binary-reason-example.html', text:'reason-example' },</v>
      </c>
    </row>
    <row r="464" spans="1:11" x14ac:dyDescent="0.25">
      <c r="A464" t="s">
        <v>1317</v>
      </c>
      <c r="B464" t="s">
        <v>36</v>
      </c>
      <c r="C464">
        <f t="shared" si="42"/>
        <v>13</v>
      </c>
      <c r="D464">
        <f t="shared" si="43"/>
        <v>50</v>
      </c>
      <c r="E464">
        <f t="shared" si="44"/>
        <v>50</v>
      </c>
      <c r="F464" t="s">
        <v>572</v>
      </c>
      <c r="G464">
        <f t="shared" si="45"/>
        <v>30</v>
      </c>
      <c r="H464" t="s">
        <v>803</v>
      </c>
      <c r="I464" t="str">
        <f t="shared" si="46"/>
        <v>https://hl7.org/cda/us/ccda/Binary-reason-for-referral-section-example.html</v>
      </c>
      <c r="J464" t="s">
        <v>1539</v>
      </c>
      <c r="K464" t="str">
        <f t="shared" si="47"/>
        <v>{ file:'1.3.6.1.4.1.19376.1.5.3.1.3.1.html', href:'https://hl7.org/cda/us/ccda/Binary-reason-for-referral-section-example.html', text:'reason-for-referral-section-example' },</v>
      </c>
    </row>
    <row r="465" spans="1:11" x14ac:dyDescent="0.25">
      <c r="A465" t="s">
        <v>1317</v>
      </c>
      <c r="B465" t="s">
        <v>313</v>
      </c>
      <c r="C465">
        <f t="shared" si="42"/>
        <v>13</v>
      </c>
      <c r="D465" t="e">
        <f t="shared" si="43"/>
        <v>#VALUE!</v>
      </c>
      <c r="E465">
        <f t="shared" si="44"/>
        <v>100</v>
      </c>
      <c r="F465" t="s">
        <v>573</v>
      </c>
      <c r="G465">
        <f t="shared" si="45"/>
        <v>33</v>
      </c>
      <c r="H465" t="s">
        <v>804</v>
      </c>
      <c r="I465" t="str">
        <f t="shared" si="46"/>
        <v>https://hl7.org/cda/us/ccda/Binary-reason-for-referral-section-example.html</v>
      </c>
      <c r="J465" t="s">
        <v>1539</v>
      </c>
      <c r="K465" t="str">
        <f t="shared" si="47"/>
        <v>{ file:'2.16.840.1.113883.10.20.22.4.140.html', href:'https://hl7.org/cda/us/ccda/Binary-reason-for-referral-section-example.html', text:'reason-for-referral-section-example' },</v>
      </c>
    </row>
    <row r="466" spans="1:11" x14ac:dyDescent="0.25">
      <c r="A466" t="s">
        <v>1318</v>
      </c>
      <c r="B466" t="s">
        <v>314</v>
      </c>
      <c r="C466">
        <f t="shared" si="42"/>
        <v>13</v>
      </c>
      <c r="D466" t="e">
        <f t="shared" si="43"/>
        <v>#VALUE!</v>
      </c>
      <c r="E466">
        <f t="shared" si="44"/>
        <v>100</v>
      </c>
      <c r="F466" t="s">
        <v>574</v>
      </c>
      <c r="G466">
        <f t="shared" si="45"/>
        <v>32</v>
      </c>
      <c r="H466" t="s">
        <v>676</v>
      </c>
      <c r="I466" t="str">
        <f t="shared" si="46"/>
        <v>https://hl7.org/cda/us/ccda/Binary-reason-for-visit-section-example.html</v>
      </c>
      <c r="J466" t="s">
        <v>1540</v>
      </c>
      <c r="K466" t="str">
        <f t="shared" si="47"/>
        <v>{ file:'2.16.840.1.113883.10.20.22.2.12.html', href:'https://hl7.org/cda/us/ccda/Binary-reason-for-visit-section-example.html', text:'reason-for-visit-section-example' },</v>
      </c>
    </row>
    <row r="467" spans="1:11" x14ac:dyDescent="0.25">
      <c r="A467" t="s">
        <v>1319</v>
      </c>
      <c r="B467" t="s">
        <v>313</v>
      </c>
      <c r="C467">
        <f t="shared" si="42"/>
        <v>13</v>
      </c>
      <c r="D467" t="e">
        <f t="shared" si="43"/>
        <v>#VALUE!</v>
      </c>
      <c r="E467">
        <f t="shared" si="44"/>
        <v>100</v>
      </c>
      <c r="F467" t="s">
        <v>573</v>
      </c>
      <c r="G467">
        <f t="shared" si="45"/>
        <v>33</v>
      </c>
      <c r="H467" t="s">
        <v>804</v>
      </c>
      <c r="I467" t="str">
        <f t="shared" si="46"/>
        <v>https://hl7.org/cda/us/ccda/Binary-referral-act-example.html</v>
      </c>
      <c r="J467" t="s">
        <v>1541</v>
      </c>
      <c r="K467" t="str">
        <f t="shared" si="47"/>
        <v>{ file:'2.16.840.1.113883.10.20.22.4.140.html', href:'https://hl7.org/cda/us/ccda/Binary-referral-act-example.html', text:'referral-act-example' },</v>
      </c>
    </row>
    <row r="468" spans="1:11" x14ac:dyDescent="0.25">
      <c r="A468" t="s">
        <v>1319</v>
      </c>
      <c r="B468" t="s">
        <v>124</v>
      </c>
      <c r="C468">
        <f t="shared" si="42"/>
        <v>13</v>
      </c>
      <c r="D468" t="e">
        <f t="shared" si="43"/>
        <v>#VALUE!</v>
      </c>
      <c r="E468">
        <f t="shared" si="44"/>
        <v>100</v>
      </c>
      <c r="F468" t="s">
        <v>372</v>
      </c>
      <c r="G468">
        <f t="shared" si="45"/>
        <v>33</v>
      </c>
      <c r="H468" t="s">
        <v>620</v>
      </c>
      <c r="I468" t="str">
        <f t="shared" si="46"/>
        <v>https://hl7.org/cda/us/ccda/Binary-referral-act-example.html</v>
      </c>
      <c r="J468" t="s">
        <v>1541</v>
      </c>
      <c r="K468" t="str">
        <f t="shared" si="47"/>
        <v>{ file:'2.16.840.1.113883.10.20.22.4.119.html', href:'https://hl7.org/cda/us/ccda/Binary-referral-act-example.html', text:'referral-act-example' },</v>
      </c>
    </row>
    <row r="469" spans="1:11" x14ac:dyDescent="0.25">
      <c r="A469" t="s">
        <v>1320</v>
      </c>
      <c r="B469" t="s">
        <v>60</v>
      </c>
      <c r="C469">
        <f t="shared" si="42"/>
        <v>14</v>
      </c>
      <c r="D469">
        <f t="shared" si="43"/>
        <v>52</v>
      </c>
      <c r="E469">
        <f t="shared" si="44"/>
        <v>52</v>
      </c>
      <c r="F469" t="s">
        <v>400</v>
      </c>
      <c r="G469">
        <f t="shared" si="45"/>
        <v>31</v>
      </c>
      <c r="H469" t="s">
        <v>646</v>
      </c>
      <c r="I469" t="str">
        <f t="shared" si="46"/>
        <v>https://hl7.org/cda/us/ccda/Binary-referral-note-header-example.html</v>
      </c>
      <c r="J469" t="s">
        <v>1542</v>
      </c>
      <c r="K469" t="str">
        <f t="shared" si="47"/>
        <v>{ file:'2.16.840.1.113883.10.20.22.1.1.html', href:'https://hl7.org/cda/us/ccda/Binary-referral-note-header-example.html', text:'referral-note-header-example' },</v>
      </c>
    </row>
    <row r="470" spans="1:11" x14ac:dyDescent="0.25">
      <c r="A470" t="s">
        <v>1320</v>
      </c>
      <c r="B470" t="s">
        <v>108</v>
      </c>
      <c r="C470">
        <f t="shared" si="42"/>
        <v>14</v>
      </c>
      <c r="D470">
        <f t="shared" si="43"/>
        <v>53</v>
      </c>
      <c r="E470">
        <f t="shared" si="44"/>
        <v>53</v>
      </c>
      <c r="F470" t="s">
        <v>575</v>
      </c>
      <c r="G470">
        <f t="shared" si="45"/>
        <v>32</v>
      </c>
      <c r="H470" t="s">
        <v>805</v>
      </c>
      <c r="I470" t="str">
        <f t="shared" si="46"/>
        <v>https://hl7.org/cda/us/ccda/Binary-referral-note-header-example.html</v>
      </c>
      <c r="J470" t="s">
        <v>1542</v>
      </c>
      <c r="K470" t="str">
        <f t="shared" si="47"/>
        <v>{ file:'2.16.840.1.113883.10.20.22.1.14.html', href:'https://hl7.org/cda/us/ccda/Binary-referral-note-header-example.html', text:'referral-note-header-example' },</v>
      </c>
    </row>
    <row r="471" spans="1:11" x14ac:dyDescent="0.25">
      <c r="A471" t="s">
        <v>1320</v>
      </c>
      <c r="B471" t="s">
        <v>109</v>
      </c>
      <c r="C471">
        <f t="shared" si="42"/>
        <v>18</v>
      </c>
      <c r="D471">
        <f t="shared" si="43"/>
        <v>55</v>
      </c>
      <c r="E471">
        <f t="shared" si="44"/>
        <v>55</v>
      </c>
      <c r="F471" t="s">
        <v>572</v>
      </c>
      <c r="G471">
        <f t="shared" si="45"/>
        <v>30</v>
      </c>
      <c r="H471" t="s">
        <v>803</v>
      </c>
      <c r="I471" t="str">
        <f t="shared" si="46"/>
        <v>https://hl7.org/cda/us/ccda/Binary-referral-note-header-example.html</v>
      </c>
      <c r="J471" t="s">
        <v>1542</v>
      </c>
      <c r="K471" t="str">
        <f t="shared" si="47"/>
        <v>{ file:'1.3.6.1.4.1.19376.1.5.3.1.3.1.html', href:'https://hl7.org/cda/us/ccda/Binary-referral-note-header-example.html', text:'referral-note-header-example' },</v>
      </c>
    </row>
    <row r="472" spans="1:11" x14ac:dyDescent="0.25">
      <c r="A472" t="s">
        <v>1320</v>
      </c>
      <c r="B472" t="s">
        <v>62</v>
      </c>
      <c r="C472">
        <f t="shared" si="42"/>
        <v>18</v>
      </c>
      <c r="D472">
        <f t="shared" si="43"/>
        <v>58</v>
      </c>
      <c r="E472">
        <f t="shared" si="44"/>
        <v>58</v>
      </c>
      <c r="F472" t="s">
        <v>376</v>
      </c>
      <c r="G472">
        <f t="shared" si="45"/>
        <v>33</v>
      </c>
      <c r="H472" t="s">
        <v>624</v>
      </c>
      <c r="I472" t="str">
        <f t="shared" si="46"/>
        <v>https://hl7.org/cda/us/ccda/Binary-referral-note-header-example.html</v>
      </c>
      <c r="J472" t="s">
        <v>1542</v>
      </c>
      <c r="K472" t="str">
        <f t="shared" si="47"/>
        <v>{ file:'2.16.840.1.113883.10.20.22.2.6.1.html', href:'https://hl7.org/cda/us/ccda/Binary-referral-note-header-example.html', text:'referral-note-header-example' },</v>
      </c>
    </row>
    <row r="473" spans="1:11" x14ac:dyDescent="0.25">
      <c r="A473" t="s">
        <v>1320</v>
      </c>
      <c r="B473" t="s">
        <v>63</v>
      </c>
      <c r="C473">
        <f t="shared" si="42"/>
        <v>18</v>
      </c>
      <c r="D473">
        <f t="shared" si="43"/>
        <v>58</v>
      </c>
      <c r="E473">
        <f t="shared" si="44"/>
        <v>58</v>
      </c>
      <c r="F473" t="s">
        <v>417</v>
      </c>
      <c r="G473">
        <f t="shared" si="45"/>
        <v>33</v>
      </c>
      <c r="H473" t="s">
        <v>663</v>
      </c>
      <c r="I473" t="str">
        <f t="shared" si="46"/>
        <v>https://hl7.org/cda/us/ccda/Binary-referral-note-header-example.html</v>
      </c>
      <c r="J473" t="s">
        <v>1542</v>
      </c>
      <c r="K473" t="str">
        <f t="shared" si="47"/>
        <v>{ file:'2.16.840.1.113883.10.20.22.2.5.1.html', href:'https://hl7.org/cda/us/ccda/Binary-referral-note-header-example.html', text:'referral-note-header-example' },</v>
      </c>
    </row>
    <row r="474" spans="1:11" x14ac:dyDescent="0.25">
      <c r="A474" t="s">
        <v>1320</v>
      </c>
      <c r="B474" t="s">
        <v>64</v>
      </c>
      <c r="C474">
        <f t="shared" si="42"/>
        <v>18</v>
      </c>
      <c r="D474">
        <f t="shared" si="43"/>
        <v>58</v>
      </c>
      <c r="E474">
        <f t="shared" si="44"/>
        <v>58</v>
      </c>
      <c r="F474" t="s">
        <v>418</v>
      </c>
      <c r="G474">
        <f t="shared" si="45"/>
        <v>33</v>
      </c>
      <c r="H474" t="s">
        <v>664</v>
      </c>
      <c r="I474" t="str">
        <f t="shared" si="46"/>
        <v>https://hl7.org/cda/us/ccda/Binary-referral-note-header-example.html</v>
      </c>
      <c r="J474" t="s">
        <v>1542</v>
      </c>
      <c r="K474" t="str">
        <f t="shared" si="47"/>
        <v>{ file:'2.16.840.1.113883.10.20.22.2.1.1.html', href:'https://hl7.org/cda/us/ccda/Binary-referral-note-header-example.html', text:'referral-note-header-example' },</v>
      </c>
    </row>
    <row r="475" spans="1:11" x14ac:dyDescent="0.25">
      <c r="A475" t="s">
        <v>1320</v>
      </c>
      <c r="B475" t="s">
        <v>77</v>
      </c>
      <c r="C475">
        <f t="shared" si="42"/>
        <v>18</v>
      </c>
      <c r="D475">
        <f t="shared" si="43"/>
        <v>57</v>
      </c>
      <c r="E475">
        <f t="shared" si="44"/>
        <v>57</v>
      </c>
      <c r="F475" t="s">
        <v>449</v>
      </c>
      <c r="G475">
        <f t="shared" si="45"/>
        <v>32</v>
      </c>
      <c r="H475" t="s">
        <v>695</v>
      </c>
      <c r="I475" t="str">
        <f t="shared" si="46"/>
        <v>https://hl7.org/cda/us/ccda/Binary-referral-note-header-example.html</v>
      </c>
      <c r="J475" t="s">
        <v>1542</v>
      </c>
      <c r="K475" t="str">
        <f t="shared" si="47"/>
        <v>{ file:'2.16.840.1.113883.10.20.22.2.10.html', href:'https://hl7.org/cda/us/ccda/Binary-referral-note-header-example.html', text:'referral-note-header-example' },</v>
      </c>
    </row>
    <row r="476" spans="1:11" x14ac:dyDescent="0.25">
      <c r="A476" t="s">
        <v>1320</v>
      </c>
      <c r="B476" t="s">
        <v>110</v>
      </c>
      <c r="C476">
        <f t="shared" si="42"/>
        <v>18</v>
      </c>
      <c r="D476" t="e">
        <f t="shared" si="43"/>
        <v>#VALUE!</v>
      </c>
      <c r="E476">
        <f t="shared" si="44"/>
        <v>100</v>
      </c>
      <c r="F476" t="s">
        <v>391</v>
      </c>
      <c r="G476">
        <f t="shared" si="45"/>
        <v>31</v>
      </c>
      <c r="H476" t="s">
        <v>637</v>
      </c>
      <c r="I476" t="str">
        <f t="shared" si="46"/>
        <v>https://hl7.org/cda/us/ccda/Binary-referral-note-header-example.html</v>
      </c>
      <c r="J476" t="s">
        <v>1542</v>
      </c>
      <c r="K476" t="str">
        <f t="shared" si="47"/>
        <v>{ file:'2.16.840.1.113883.10.20.22.2.8.html', href:'https://hl7.org/cda/us/ccda/Binary-referral-note-header-example.html', text:'referral-note-header-example' },</v>
      </c>
    </row>
    <row r="477" spans="1:11" x14ac:dyDescent="0.25">
      <c r="A477" t="s">
        <v>1320</v>
      </c>
      <c r="B477" t="s">
        <v>67</v>
      </c>
      <c r="C477">
        <f t="shared" si="42"/>
        <v>18</v>
      </c>
      <c r="D477">
        <f t="shared" si="43"/>
        <v>58</v>
      </c>
      <c r="E477">
        <f t="shared" si="44"/>
        <v>58</v>
      </c>
      <c r="F477" t="s">
        <v>419</v>
      </c>
      <c r="G477">
        <f t="shared" si="45"/>
        <v>33</v>
      </c>
      <c r="H477" t="s">
        <v>665</v>
      </c>
      <c r="I477" t="str">
        <f t="shared" si="46"/>
        <v>https://hl7.org/cda/us/ccda/Binary-referral-note-header-example.html</v>
      </c>
      <c r="J477" t="s">
        <v>1542</v>
      </c>
      <c r="K477" t="str">
        <f t="shared" si="47"/>
        <v>{ file:'2.16.840.1.113883.10.20.22.2.3.1.html', href:'https://hl7.org/cda/us/ccda/Binary-referral-note-header-example.html', text:'referral-note-header-example' },</v>
      </c>
    </row>
    <row r="478" spans="1:11" x14ac:dyDescent="0.25">
      <c r="A478" t="s">
        <v>1320</v>
      </c>
      <c r="B478" t="s">
        <v>111</v>
      </c>
      <c r="C478">
        <f t="shared" si="42"/>
        <v>18</v>
      </c>
      <c r="D478">
        <f t="shared" si="43"/>
        <v>57</v>
      </c>
      <c r="E478">
        <f t="shared" si="44"/>
        <v>57</v>
      </c>
      <c r="F478" t="s">
        <v>469</v>
      </c>
      <c r="G478">
        <f t="shared" si="45"/>
        <v>32</v>
      </c>
      <c r="H478" t="s">
        <v>714</v>
      </c>
      <c r="I478" t="str">
        <f t="shared" si="46"/>
        <v>https://hl7.org/cda/us/ccda/Binary-referral-note-header-example.html</v>
      </c>
      <c r="J478" t="s">
        <v>1542</v>
      </c>
      <c r="K478" t="str">
        <f t="shared" si="47"/>
        <v>{ file:'2.16.840.1.113883.10.20.22.2.14.html', href:'https://hl7.org/cda/us/ccda/Binary-referral-note-header-example.html', text:'referral-note-header-example' },</v>
      </c>
    </row>
    <row r="479" spans="1:11" x14ac:dyDescent="0.25">
      <c r="A479" t="s">
        <v>1320</v>
      </c>
      <c r="B479" t="s">
        <v>112</v>
      </c>
      <c r="C479">
        <f t="shared" si="42"/>
        <v>18</v>
      </c>
      <c r="D479">
        <f t="shared" si="43"/>
        <v>57</v>
      </c>
      <c r="E479">
        <f t="shared" si="44"/>
        <v>57</v>
      </c>
      <c r="F479" t="s">
        <v>514</v>
      </c>
      <c r="G479">
        <f t="shared" si="45"/>
        <v>32</v>
      </c>
      <c r="H479" t="s">
        <v>754</v>
      </c>
      <c r="I479" t="str">
        <f t="shared" si="46"/>
        <v>https://hl7.org/cda/us/ccda/Binary-referral-note-header-example.html</v>
      </c>
      <c r="J479" t="s">
        <v>1542</v>
      </c>
      <c r="K479" t="str">
        <f t="shared" si="47"/>
        <v>{ file:'2.16.840.1.113883.10.20.22.2.56.html', href:'https://hl7.org/cda/us/ccda/Binary-referral-note-header-example.html', text:'referral-note-header-example' },</v>
      </c>
    </row>
    <row r="480" spans="1:11" x14ac:dyDescent="0.25">
      <c r="A480" t="s">
        <v>1320</v>
      </c>
      <c r="B480" t="s">
        <v>113</v>
      </c>
      <c r="C480">
        <f t="shared" si="42"/>
        <v>18</v>
      </c>
      <c r="D480" t="e">
        <f t="shared" si="43"/>
        <v>#VALUE!</v>
      </c>
      <c r="E480">
        <f t="shared" si="44"/>
        <v>100</v>
      </c>
      <c r="F480" t="s">
        <v>523</v>
      </c>
      <c r="G480">
        <f t="shared" si="45"/>
        <v>32</v>
      </c>
      <c r="H480" t="s">
        <v>763</v>
      </c>
      <c r="I480" t="str">
        <f t="shared" si="46"/>
        <v>https://hl7.org/cda/us/ccda/Binary-referral-note-header-example.html</v>
      </c>
      <c r="J480" t="s">
        <v>1542</v>
      </c>
      <c r="K480" t="str">
        <f t="shared" si="47"/>
        <v>{ file:'2.16.840.1.113883.10.20.22.2.57.html', href:'https://hl7.org/cda/us/ccda/Binary-referral-note-header-example.html', text:'referral-note-header-example' },</v>
      </c>
    </row>
    <row r="481" spans="1:11" x14ac:dyDescent="0.25">
      <c r="A481" t="s">
        <v>1321</v>
      </c>
      <c r="B481" t="s">
        <v>157</v>
      </c>
      <c r="C481">
        <f t="shared" si="42"/>
        <v>13</v>
      </c>
      <c r="D481">
        <f t="shared" si="43"/>
        <v>51</v>
      </c>
      <c r="E481">
        <f t="shared" si="44"/>
        <v>51</v>
      </c>
      <c r="F481" t="s">
        <v>414</v>
      </c>
      <c r="G481">
        <f t="shared" si="45"/>
        <v>31</v>
      </c>
      <c r="H481" t="s">
        <v>660</v>
      </c>
      <c r="I481" t="str">
        <f t="shared" si="46"/>
        <v>https://hl7.org/cda/us/ccda/Binary-related-person-relationship-and-name-example.html</v>
      </c>
      <c r="J481" t="s">
        <v>1543</v>
      </c>
      <c r="K481" t="str">
        <f t="shared" si="47"/>
        <v>{ file:'2.16.840.1.113883.10.20.22.5.8.html', href:'https://hl7.org/cda/us/ccda/Binary-related-person-relationship-and-name-example.html', text:'related-person-relationship-and-name-example' },</v>
      </c>
    </row>
    <row r="482" spans="1:11" x14ac:dyDescent="0.25">
      <c r="A482" t="s">
        <v>1322</v>
      </c>
      <c r="B482" t="s">
        <v>315</v>
      </c>
      <c r="C482">
        <f t="shared" si="42"/>
        <v>13</v>
      </c>
      <c r="D482">
        <f t="shared" si="43"/>
        <v>51</v>
      </c>
      <c r="E482">
        <f t="shared" si="44"/>
        <v>51</v>
      </c>
      <c r="F482" t="s">
        <v>576</v>
      </c>
      <c r="G482">
        <f t="shared" si="45"/>
        <v>31</v>
      </c>
      <c r="H482" t="s">
        <v>806</v>
      </c>
      <c r="I482" t="str">
        <f t="shared" si="46"/>
        <v>https://hl7.org/cda/us/ccda/Binary-result-observation-example.html</v>
      </c>
      <c r="J482" t="s">
        <v>1544</v>
      </c>
      <c r="K482" t="str">
        <f t="shared" si="47"/>
        <v>{ file:'2.16.840.1.113883.10.20.22.4.2.html', href:'https://hl7.org/cda/us/ccda/Binary-result-observation-example.html', text:'result-observation-example' },</v>
      </c>
    </row>
    <row r="483" spans="1:11" x14ac:dyDescent="0.25">
      <c r="A483" t="s">
        <v>1322</v>
      </c>
      <c r="B483" t="s">
        <v>124</v>
      </c>
      <c r="C483">
        <f t="shared" si="42"/>
        <v>13</v>
      </c>
      <c r="D483" t="e">
        <f t="shared" si="43"/>
        <v>#VALUE!</v>
      </c>
      <c r="E483">
        <f t="shared" si="44"/>
        <v>100</v>
      </c>
      <c r="F483" t="s">
        <v>372</v>
      </c>
      <c r="G483">
        <f t="shared" si="45"/>
        <v>33</v>
      </c>
      <c r="H483" t="s">
        <v>620</v>
      </c>
      <c r="I483" t="str">
        <f t="shared" si="46"/>
        <v>https://hl7.org/cda/us/ccda/Binary-result-observation-example.html</v>
      </c>
      <c r="J483" t="s">
        <v>1544</v>
      </c>
      <c r="K483" t="str">
        <f t="shared" si="47"/>
        <v>{ file:'2.16.840.1.113883.10.20.22.4.119.html', href:'https://hl7.org/cda/us/ccda/Binary-result-observation-example.html', text:'result-observation-example' },</v>
      </c>
    </row>
    <row r="484" spans="1:11" x14ac:dyDescent="0.25">
      <c r="A484" t="s">
        <v>1323</v>
      </c>
      <c r="B484" t="s">
        <v>316</v>
      </c>
      <c r="C484">
        <f t="shared" si="42"/>
        <v>13</v>
      </c>
      <c r="D484">
        <f t="shared" si="43"/>
        <v>51</v>
      </c>
      <c r="E484">
        <f t="shared" si="44"/>
        <v>51</v>
      </c>
      <c r="F484" t="s">
        <v>577</v>
      </c>
      <c r="G484">
        <f t="shared" si="45"/>
        <v>31</v>
      </c>
      <c r="H484" t="s">
        <v>807</v>
      </c>
      <c r="I484" t="str">
        <f t="shared" si="46"/>
        <v>https://hl7.org/cda/us/ccda/Binary-result-organizer-example.html</v>
      </c>
      <c r="J484" t="s">
        <v>1545</v>
      </c>
      <c r="K484" t="str">
        <f t="shared" si="47"/>
        <v>{ file:'2.16.840.1.113883.10.20.22.4.1.html', href:'https://hl7.org/cda/us/ccda/Binary-result-organizer-example.html', text:'result-organizer-example' },</v>
      </c>
    </row>
    <row r="485" spans="1:11" x14ac:dyDescent="0.25">
      <c r="A485" t="s">
        <v>1323</v>
      </c>
      <c r="B485" t="s">
        <v>114</v>
      </c>
      <c r="C485">
        <f t="shared" si="42"/>
        <v>15</v>
      </c>
      <c r="D485" t="e">
        <f t="shared" si="43"/>
        <v>#VALUE!</v>
      </c>
      <c r="E485">
        <f t="shared" si="44"/>
        <v>100</v>
      </c>
      <c r="F485" t="s">
        <v>383</v>
      </c>
      <c r="G485">
        <f t="shared" si="45"/>
        <v>33</v>
      </c>
      <c r="H485" t="s">
        <v>620</v>
      </c>
      <c r="I485" t="str">
        <f t="shared" si="46"/>
        <v>https://hl7.org/cda/us/ccda/Binary-result-organizer-example.html</v>
      </c>
      <c r="J485" t="s">
        <v>1545</v>
      </c>
      <c r="K485" t="str">
        <f t="shared" si="47"/>
        <v>{ file:'2.16.840.1.113883.10.20.22.4.119.html', href:'https://hl7.org/cda/us/ccda/Binary-result-organizer-example.html', text:'result-organizer-example' },</v>
      </c>
    </row>
    <row r="486" spans="1:11" x14ac:dyDescent="0.25">
      <c r="A486" t="s">
        <v>1323</v>
      </c>
      <c r="B486" t="s">
        <v>317</v>
      </c>
      <c r="C486">
        <f t="shared" si="42"/>
        <v>16</v>
      </c>
      <c r="D486">
        <f t="shared" si="43"/>
        <v>54</v>
      </c>
      <c r="E486">
        <f t="shared" si="44"/>
        <v>54</v>
      </c>
      <c r="F486" t="s">
        <v>576</v>
      </c>
      <c r="G486">
        <f t="shared" si="45"/>
        <v>31</v>
      </c>
      <c r="H486" t="s">
        <v>806</v>
      </c>
      <c r="I486" t="str">
        <f t="shared" si="46"/>
        <v>https://hl7.org/cda/us/ccda/Binary-result-organizer-example.html</v>
      </c>
      <c r="J486" t="s">
        <v>1545</v>
      </c>
      <c r="K486" t="str">
        <f t="shared" si="47"/>
        <v>{ file:'2.16.840.1.113883.10.20.22.4.2.html', href:'https://hl7.org/cda/us/ccda/Binary-result-organizer-example.html', text:'result-organizer-example' },</v>
      </c>
    </row>
    <row r="487" spans="1:11" x14ac:dyDescent="0.25">
      <c r="A487" t="s">
        <v>1323</v>
      </c>
      <c r="B487" t="s">
        <v>132</v>
      </c>
      <c r="C487">
        <f t="shared" si="42"/>
        <v>16</v>
      </c>
      <c r="D487" t="e">
        <f t="shared" si="43"/>
        <v>#VALUE!</v>
      </c>
      <c r="E487">
        <f t="shared" si="44"/>
        <v>100</v>
      </c>
      <c r="F487" t="s">
        <v>372</v>
      </c>
      <c r="G487">
        <f t="shared" si="45"/>
        <v>33</v>
      </c>
      <c r="H487" t="s">
        <v>620</v>
      </c>
      <c r="I487" t="str">
        <f t="shared" si="46"/>
        <v>https://hl7.org/cda/us/ccda/Binary-result-organizer-example.html</v>
      </c>
      <c r="J487" t="s">
        <v>1545</v>
      </c>
      <c r="K487" t="str">
        <f t="shared" si="47"/>
        <v>{ file:'2.16.840.1.113883.10.20.22.4.119.html', href:'https://hl7.org/cda/us/ccda/Binary-result-organizer-example.html', text:'result-organizer-example' },</v>
      </c>
    </row>
    <row r="488" spans="1:11" x14ac:dyDescent="0.25">
      <c r="A488" t="s">
        <v>1323</v>
      </c>
      <c r="B488" t="s">
        <v>318</v>
      </c>
      <c r="C488">
        <f t="shared" si="42"/>
        <v>16</v>
      </c>
      <c r="D488">
        <f t="shared" si="43"/>
        <v>56</v>
      </c>
      <c r="E488">
        <f t="shared" si="44"/>
        <v>56</v>
      </c>
      <c r="F488" t="s">
        <v>578</v>
      </c>
      <c r="G488">
        <f t="shared" si="45"/>
        <v>33</v>
      </c>
      <c r="H488" t="s">
        <v>808</v>
      </c>
      <c r="I488" t="str">
        <f t="shared" si="46"/>
        <v>https://hl7.org/cda/us/ccda/Binary-result-organizer-example.html</v>
      </c>
      <c r="J488" t="s">
        <v>1545</v>
      </c>
      <c r="K488" t="str">
        <f t="shared" si="47"/>
        <v>{ file:'2.16.840.1.113883.10.20.22.4.415.html', href:'https://hl7.org/cda/us/ccda/Binary-result-organizer-example.html', text:'result-organizer-example' },</v>
      </c>
    </row>
    <row r="489" spans="1:11" x14ac:dyDescent="0.25">
      <c r="A489" t="s">
        <v>1323</v>
      </c>
      <c r="B489" t="s">
        <v>319</v>
      </c>
      <c r="C489">
        <f t="shared" si="42"/>
        <v>18</v>
      </c>
      <c r="D489">
        <f t="shared" si="43"/>
        <v>58</v>
      </c>
      <c r="E489">
        <f t="shared" si="44"/>
        <v>58</v>
      </c>
      <c r="F489" t="s">
        <v>579</v>
      </c>
      <c r="G489">
        <f t="shared" si="45"/>
        <v>33</v>
      </c>
      <c r="H489" t="s">
        <v>809</v>
      </c>
      <c r="I489" t="str">
        <f t="shared" si="46"/>
        <v>https://hl7.org/cda/us/ccda/Binary-result-organizer-example.html</v>
      </c>
      <c r="J489" t="s">
        <v>1545</v>
      </c>
      <c r="K489" t="str">
        <f t="shared" si="47"/>
        <v>{ file:'2.16.840.1.113883.10.20.22.4.421.html', href:'https://hl7.org/cda/us/ccda/Binary-result-organizer-example.html', text:'result-organizer-example' },</v>
      </c>
    </row>
    <row r="490" spans="1:11" x14ac:dyDescent="0.25">
      <c r="A490" t="s">
        <v>1324</v>
      </c>
      <c r="B490" t="s">
        <v>320</v>
      </c>
      <c r="C490">
        <f t="shared" si="42"/>
        <v>13</v>
      </c>
      <c r="D490">
        <f t="shared" si="43"/>
        <v>53</v>
      </c>
      <c r="E490">
        <f t="shared" si="44"/>
        <v>53</v>
      </c>
      <c r="F490" t="s">
        <v>419</v>
      </c>
      <c r="G490">
        <f t="shared" si="45"/>
        <v>33</v>
      </c>
      <c r="H490" t="s">
        <v>665</v>
      </c>
      <c r="I490" t="str">
        <f t="shared" si="46"/>
        <v>https://hl7.org/cda/us/ccda/Binary-results-section-example.html</v>
      </c>
      <c r="J490" t="s">
        <v>1546</v>
      </c>
      <c r="K490" t="str">
        <f t="shared" si="47"/>
        <v>{ file:'2.16.840.1.113883.10.20.22.2.3.1.html', href:'https://hl7.org/cda/us/ccda/Binary-results-section-example.html', text:'results-section-example' },</v>
      </c>
    </row>
    <row r="491" spans="1:11" x14ac:dyDescent="0.25">
      <c r="A491" t="s">
        <v>1324</v>
      </c>
      <c r="B491" t="s">
        <v>321</v>
      </c>
      <c r="C491">
        <f t="shared" si="42"/>
        <v>16</v>
      </c>
      <c r="D491">
        <f t="shared" si="43"/>
        <v>54</v>
      </c>
      <c r="E491">
        <f t="shared" si="44"/>
        <v>54</v>
      </c>
      <c r="F491" t="s">
        <v>577</v>
      </c>
      <c r="G491">
        <f t="shared" si="45"/>
        <v>31</v>
      </c>
      <c r="H491" t="s">
        <v>807</v>
      </c>
      <c r="I491" t="str">
        <f t="shared" si="46"/>
        <v>https://hl7.org/cda/us/ccda/Binary-results-section-example.html</v>
      </c>
      <c r="J491" t="s">
        <v>1546</v>
      </c>
      <c r="K491" t="str">
        <f t="shared" si="47"/>
        <v>{ file:'2.16.840.1.113883.10.20.22.4.1.html', href:'https://hl7.org/cda/us/ccda/Binary-results-section-example.html', text:'results-section-example' },</v>
      </c>
    </row>
    <row r="492" spans="1:11" x14ac:dyDescent="0.25">
      <c r="A492" t="s">
        <v>1324</v>
      </c>
      <c r="B492" t="s">
        <v>47</v>
      </c>
      <c r="C492">
        <f t="shared" si="42"/>
        <v>17</v>
      </c>
      <c r="D492" t="e">
        <f t="shared" si="43"/>
        <v>#VALUE!</v>
      </c>
      <c r="E492">
        <f t="shared" si="44"/>
        <v>100</v>
      </c>
      <c r="F492" t="s">
        <v>383</v>
      </c>
      <c r="G492">
        <f t="shared" si="45"/>
        <v>33</v>
      </c>
      <c r="H492" t="s">
        <v>620</v>
      </c>
      <c r="I492" t="str">
        <f t="shared" si="46"/>
        <v>https://hl7.org/cda/us/ccda/Binary-results-section-example.html</v>
      </c>
      <c r="J492" t="s">
        <v>1546</v>
      </c>
      <c r="K492" t="str">
        <f t="shared" si="47"/>
        <v>{ file:'2.16.840.1.113883.10.20.22.4.119.html', href:'https://hl7.org/cda/us/ccda/Binary-results-section-example.html', text:'results-section-example' },</v>
      </c>
    </row>
    <row r="493" spans="1:11" x14ac:dyDescent="0.25">
      <c r="A493" t="s">
        <v>1324</v>
      </c>
      <c r="B493" t="s">
        <v>322</v>
      </c>
      <c r="C493">
        <f t="shared" si="42"/>
        <v>18</v>
      </c>
      <c r="D493">
        <f t="shared" si="43"/>
        <v>56</v>
      </c>
      <c r="E493">
        <f t="shared" si="44"/>
        <v>56</v>
      </c>
      <c r="F493" t="s">
        <v>576</v>
      </c>
      <c r="G493">
        <f t="shared" si="45"/>
        <v>31</v>
      </c>
      <c r="H493" t="s">
        <v>806</v>
      </c>
      <c r="I493" t="str">
        <f t="shared" si="46"/>
        <v>https://hl7.org/cda/us/ccda/Binary-results-section-example.html</v>
      </c>
      <c r="J493" t="s">
        <v>1546</v>
      </c>
      <c r="K493" t="str">
        <f t="shared" si="47"/>
        <v>{ file:'2.16.840.1.113883.10.20.22.4.2.html', href:'https://hl7.org/cda/us/ccda/Binary-results-section-example.html', text:'results-section-example' },</v>
      </c>
    </row>
    <row r="494" spans="1:11" x14ac:dyDescent="0.25">
      <c r="A494" t="s">
        <v>1324</v>
      </c>
      <c r="B494" t="s">
        <v>301</v>
      </c>
      <c r="C494">
        <f t="shared" si="42"/>
        <v>18</v>
      </c>
      <c r="D494" t="e">
        <f t="shared" si="43"/>
        <v>#VALUE!</v>
      </c>
      <c r="E494">
        <f t="shared" si="44"/>
        <v>100</v>
      </c>
      <c r="F494" t="s">
        <v>372</v>
      </c>
      <c r="G494">
        <f t="shared" si="45"/>
        <v>33</v>
      </c>
      <c r="H494" t="s">
        <v>620</v>
      </c>
      <c r="I494" t="str">
        <f t="shared" si="46"/>
        <v>https://hl7.org/cda/us/ccda/Binary-results-section-example.html</v>
      </c>
      <c r="J494" t="s">
        <v>1546</v>
      </c>
      <c r="K494" t="str">
        <f t="shared" si="47"/>
        <v>{ file:'2.16.840.1.113883.10.20.22.4.119.html', href:'https://hl7.org/cda/us/ccda/Binary-results-section-example.html', text:'results-section-example' },</v>
      </c>
    </row>
    <row r="495" spans="1:11" x14ac:dyDescent="0.25">
      <c r="A495" t="s">
        <v>1325</v>
      </c>
      <c r="B495" t="s">
        <v>323</v>
      </c>
      <c r="C495">
        <f t="shared" si="42"/>
        <v>13</v>
      </c>
      <c r="D495" t="e">
        <f t="shared" si="43"/>
        <v>#VALUE!</v>
      </c>
      <c r="E495">
        <f t="shared" si="44"/>
        <v>100</v>
      </c>
      <c r="F495" t="s">
        <v>580</v>
      </c>
      <c r="G495">
        <f t="shared" si="45"/>
        <v>31</v>
      </c>
      <c r="H495" t="s">
        <v>726</v>
      </c>
      <c r="I495" t="str">
        <f t="shared" si="46"/>
        <v>https://hl7.org/cda/us/ccda/Binary-review-of-systems-section-example.html</v>
      </c>
      <c r="J495" t="s">
        <v>1547</v>
      </c>
      <c r="K495" t="str">
        <f t="shared" si="47"/>
        <v>{ file:'1.3.6.1.4.1.19376.1.5.3.1.3.18.html', href:'https://hl7.org/cda/us/ccda/Binary-review-of-systems-section-example.html', text:'review-of-systems-section-example' },</v>
      </c>
    </row>
    <row r="496" spans="1:11" x14ac:dyDescent="0.25">
      <c r="A496" t="s">
        <v>1326</v>
      </c>
      <c r="B496" t="s">
        <v>324</v>
      </c>
      <c r="C496">
        <f t="shared" si="42"/>
        <v>13</v>
      </c>
      <c r="D496">
        <f t="shared" si="43"/>
        <v>53</v>
      </c>
      <c r="E496">
        <f t="shared" si="44"/>
        <v>53</v>
      </c>
      <c r="F496" t="s">
        <v>581</v>
      </c>
      <c r="G496">
        <f t="shared" si="45"/>
        <v>33</v>
      </c>
      <c r="H496" t="s">
        <v>810</v>
      </c>
      <c r="I496" t="str">
        <f t="shared" si="46"/>
        <v>https://hl7.org/cda/us/ccda/Binary-risk-concern-act-example.html</v>
      </c>
      <c r="J496" t="s">
        <v>1548</v>
      </c>
      <c r="K496" t="str">
        <f t="shared" si="47"/>
        <v>{ file:'2.16.840.1.113883.10.20.22.4.136.html', href:'https://hl7.org/cda/us/ccda/Binary-risk-concern-act-example.html', text:'risk-concern-act-example' },</v>
      </c>
    </row>
    <row r="497" spans="1:11" x14ac:dyDescent="0.25">
      <c r="A497" t="s">
        <v>1326</v>
      </c>
      <c r="B497" t="s">
        <v>117</v>
      </c>
      <c r="C497">
        <f t="shared" si="42"/>
        <v>13</v>
      </c>
      <c r="D497">
        <f t="shared" si="43"/>
        <v>51</v>
      </c>
      <c r="E497">
        <f t="shared" si="44"/>
        <v>51</v>
      </c>
      <c r="F497" t="s">
        <v>365</v>
      </c>
      <c r="G497">
        <f t="shared" si="45"/>
        <v>31</v>
      </c>
      <c r="H497" t="s">
        <v>613</v>
      </c>
      <c r="I497" t="str">
        <f t="shared" si="46"/>
        <v>https://hl7.org/cda/us/ccda/Binary-risk-concern-act-example.html</v>
      </c>
      <c r="J497" t="s">
        <v>1548</v>
      </c>
      <c r="K497" t="str">
        <f t="shared" si="47"/>
        <v>{ file:'2.16.840.1.113883.10.20.22.4.4.html', href:'https://hl7.org/cda/us/ccda/Binary-risk-concern-act-example.html', text:'risk-concern-act-example' },</v>
      </c>
    </row>
    <row r="498" spans="1:11" x14ac:dyDescent="0.25">
      <c r="A498" t="s">
        <v>1326</v>
      </c>
      <c r="B498" t="s">
        <v>173</v>
      </c>
      <c r="C498">
        <f t="shared" si="42"/>
        <v>13</v>
      </c>
      <c r="D498" t="e">
        <f t="shared" si="43"/>
        <v>#VALUE!</v>
      </c>
      <c r="E498">
        <f t="shared" si="44"/>
        <v>100</v>
      </c>
      <c r="F498" t="s">
        <v>441</v>
      </c>
      <c r="G498">
        <f t="shared" si="45"/>
        <v>33</v>
      </c>
      <c r="H498" t="s">
        <v>687</v>
      </c>
      <c r="I498" t="str">
        <f t="shared" si="46"/>
        <v>https://hl7.org/cda/us/ccda/Binary-risk-concern-act-example.html</v>
      </c>
      <c r="J498" t="s">
        <v>1548</v>
      </c>
      <c r="K498" t="str">
        <f t="shared" si="47"/>
        <v>{ file:'2.16.840.1.113883.10.20.22.4.122.html', href:'https://hl7.org/cda/us/ccda/Binary-risk-concern-act-example.html', text:'risk-concern-act-example' },</v>
      </c>
    </row>
    <row r="499" spans="1:11" x14ac:dyDescent="0.25">
      <c r="A499" t="s">
        <v>1327</v>
      </c>
      <c r="B499" t="s">
        <v>325</v>
      </c>
      <c r="C499">
        <f t="shared" si="42"/>
        <v>13</v>
      </c>
      <c r="D499" t="e">
        <f t="shared" si="43"/>
        <v>#VALUE!</v>
      </c>
      <c r="E499">
        <f t="shared" si="44"/>
        <v>100</v>
      </c>
      <c r="F499" t="s">
        <v>582</v>
      </c>
      <c r="G499">
        <f t="shared" si="45"/>
        <v>38</v>
      </c>
      <c r="H499" t="s">
        <v>811</v>
      </c>
      <c r="I499" t="str">
        <f t="shared" si="46"/>
        <v>https://hl7.org/cda/us/ccda/Binary-section-time-range-example.html</v>
      </c>
      <c r="J499" t="s">
        <v>1549</v>
      </c>
      <c r="K499" t="str">
        <f t="shared" si="47"/>
        <v>{ file:'2.16.840.1.113883.10.20.22.4.68.99999.html', href:'https://hl7.org/cda/us/ccda/Binary-section-time-range-example.html', text:'section-time-range-example' },</v>
      </c>
    </row>
    <row r="500" spans="1:11" x14ac:dyDescent="0.25">
      <c r="A500" t="s">
        <v>1328</v>
      </c>
      <c r="B500" t="s">
        <v>194</v>
      </c>
      <c r="C500">
        <f t="shared" si="42"/>
        <v>13</v>
      </c>
      <c r="D500" t="e">
        <f t="shared" si="43"/>
        <v>#VALUE!</v>
      </c>
      <c r="E500">
        <f t="shared" si="44"/>
        <v>100</v>
      </c>
      <c r="F500" t="s">
        <v>468</v>
      </c>
      <c r="G500">
        <f t="shared" si="45"/>
        <v>33</v>
      </c>
      <c r="H500" t="s">
        <v>713</v>
      </c>
      <c r="I500" t="str">
        <f t="shared" si="46"/>
        <v>https://hl7.org/cda/us/ccda/Binary-self-care-activities-adl-and-iadl-example.html</v>
      </c>
      <c r="J500" t="s">
        <v>1550</v>
      </c>
      <c r="K500" t="str">
        <f t="shared" si="47"/>
        <v>{ file:'2.16.840.1.113883.10.20.22.4.128.html', href:'https://hl7.org/cda/us/ccda/Binary-self-care-activities-adl-and-iadl-example.html', text:'self-care-activities-adl-and-iadl-example' },</v>
      </c>
    </row>
    <row r="501" spans="1:11" x14ac:dyDescent="0.25">
      <c r="A501" t="s">
        <v>1328</v>
      </c>
      <c r="B501" t="s">
        <v>124</v>
      </c>
      <c r="C501">
        <f t="shared" si="42"/>
        <v>13</v>
      </c>
      <c r="D501" t="e">
        <f t="shared" si="43"/>
        <v>#VALUE!</v>
      </c>
      <c r="E501">
        <f t="shared" si="44"/>
        <v>100</v>
      </c>
      <c r="F501" t="s">
        <v>372</v>
      </c>
      <c r="G501">
        <f t="shared" si="45"/>
        <v>33</v>
      </c>
      <c r="H501" t="s">
        <v>620</v>
      </c>
      <c r="I501" t="str">
        <f t="shared" si="46"/>
        <v>https://hl7.org/cda/us/ccda/Binary-self-care-activities-adl-and-iadl-example.html</v>
      </c>
      <c r="J501" t="s">
        <v>1550</v>
      </c>
      <c r="K501" t="str">
        <f t="shared" si="47"/>
        <v>{ file:'2.16.840.1.113883.10.20.22.4.119.html', href:'https://hl7.org/cda/us/ccda/Binary-self-care-activities-adl-and-iadl-example.html', text:'self-care-activities-adl-and-iadl-example' },</v>
      </c>
    </row>
    <row r="502" spans="1:11" x14ac:dyDescent="0.25">
      <c r="A502" t="s">
        <v>1329</v>
      </c>
      <c r="B502" t="s">
        <v>195</v>
      </c>
      <c r="C502">
        <f t="shared" si="42"/>
        <v>13</v>
      </c>
      <c r="D502" t="e">
        <f t="shared" si="43"/>
        <v>#VALUE!</v>
      </c>
      <c r="E502">
        <f t="shared" si="44"/>
        <v>100</v>
      </c>
      <c r="F502" t="s">
        <v>470</v>
      </c>
      <c r="G502">
        <f t="shared" si="45"/>
        <v>33</v>
      </c>
      <c r="H502" t="s">
        <v>715</v>
      </c>
      <c r="I502" t="str">
        <f t="shared" si="46"/>
        <v>https://hl7.org/cda/us/ccda/Binary-sensory-and-speech-status-example.html</v>
      </c>
      <c r="J502" t="s">
        <v>1551</v>
      </c>
      <c r="K502" t="str">
        <f t="shared" si="47"/>
        <v>{ file:'2.16.840.1.113883.10.20.22.4.127.html', href:'https://hl7.org/cda/us/ccda/Binary-sensory-and-speech-status-example.html', text:'sensory-and-speech-status-example' },</v>
      </c>
    </row>
    <row r="503" spans="1:11" x14ac:dyDescent="0.25">
      <c r="A503" t="s">
        <v>1329</v>
      </c>
      <c r="B503" t="s">
        <v>124</v>
      </c>
      <c r="C503">
        <f t="shared" si="42"/>
        <v>13</v>
      </c>
      <c r="D503" t="e">
        <f t="shared" si="43"/>
        <v>#VALUE!</v>
      </c>
      <c r="E503">
        <f t="shared" si="44"/>
        <v>100</v>
      </c>
      <c r="F503" t="s">
        <v>372</v>
      </c>
      <c r="G503">
        <f t="shared" si="45"/>
        <v>33</v>
      </c>
      <c r="H503" t="s">
        <v>620</v>
      </c>
      <c r="I503" t="str">
        <f t="shared" si="46"/>
        <v>https://hl7.org/cda/us/ccda/Binary-sensory-and-speech-status-example.html</v>
      </c>
      <c r="J503" t="s">
        <v>1551</v>
      </c>
      <c r="K503" t="str">
        <f t="shared" si="47"/>
        <v>{ file:'2.16.840.1.113883.10.20.22.4.119.html', href:'https://hl7.org/cda/us/ccda/Binary-sensory-and-speech-status-example.html', text:'sensory-and-speech-status-example' },</v>
      </c>
    </row>
    <row r="504" spans="1:11" x14ac:dyDescent="0.25">
      <c r="A504" t="s">
        <v>1329</v>
      </c>
      <c r="B504" t="s">
        <v>11</v>
      </c>
      <c r="C504">
        <f t="shared" si="42"/>
        <v>13</v>
      </c>
      <c r="D504">
        <f t="shared" si="43"/>
        <v>52</v>
      </c>
      <c r="E504">
        <f t="shared" si="44"/>
        <v>52</v>
      </c>
      <c r="F504" t="s">
        <v>389</v>
      </c>
      <c r="G504">
        <f t="shared" si="45"/>
        <v>32</v>
      </c>
      <c r="H504" t="s">
        <v>635</v>
      </c>
      <c r="I504" t="str">
        <f t="shared" si="46"/>
        <v>https://hl7.org/cda/us/ccda/Binary-sensory-and-speech-status-example.html</v>
      </c>
      <c r="J504" t="s">
        <v>1551</v>
      </c>
      <c r="K504" t="str">
        <f t="shared" si="47"/>
        <v>{ file:'2.16.840.1.113883.10.20.22.4.69.html', href:'https://hl7.org/cda/us/ccda/Binary-sensory-and-speech-status-example.html', text:'sensory-and-speech-status-example' },</v>
      </c>
    </row>
    <row r="505" spans="1:11" x14ac:dyDescent="0.25">
      <c r="A505" t="s">
        <v>1329</v>
      </c>
      <c r="B505" t="s">
        <v>12</v>
      </c>
      <c r="C505">
        <f t="shared" si="42"/>
        <v>13</v>
      </c>
      <c r="D505">
        <f t="shared" si="43"/>
        <v>52</v>
      </c>
      <c r="E505">
        <f t="shared" si="44"/>
        <v>52</v>
      </c>
      <c r="F505" t="s">
        <v>390</v>
      </c>
      <c r="G505">
        <f t="shared" si="45"/>
        <v>32</v>
      </c>
      <c r="H505" t="s">
        <v>636</v>
      </c>
      <c r="I505" t="str">
        <f t="shared" si="46"/>
        <v>https://hl7.org/cda/us/ccda/Binary-sensory-and-speech-status-example.html</v>
      </c>
      <c r="J505" t="s">
        <v>1551</v>
      </c>
      <c r="K505" t="str">
        <f t="shared" si="47"/>
        <v>{ file:'2.16.840.1.113883.10.20.22.4.86.html', href:'https://hl7.org/cda/us/ccda/Binary-sensory-and-speech-status-example.html', text:'sensory-and-speech-status-example' },</v>
      </c>
    </row>
    <row r="506" spans="1:11" x14ac:dyDescent="0.25">
      <c r="A506" t="s">
        <v>1330</v>
      </c>
      <c r="B506" t="s">
        <v>326</v>
      </c>
      <c r="C506">
        <f t="shared" si="42"/>
        <v>13</v>
      </c>
      <c r="D506">
        <f t="shared" si="43"/>
        <v>53</v>
      </c>
      <c r="E506">
        <f t="shared" si="44"/>
        <v>53</v>
      </c>
      <c r="F506" t="s">
        <v>583</v>
      </c>
      <c r="G506">
        <f t="shared" si="45"/>
        <v>33</v>
      </c>
      <c r="H506" t="s">
        <v>812</v>
      </c>
      <c r="I506" t="str">
        <f t="shared" si="46"/>
        <v>https://hl7.org/cda/us/ccda/Binary-serial-number-observation-example.html</v>
      </c>
      <c r="J506" t="s">
        <v>1552</v>
      </c>
      <c r="K506" t="str">
        <f t="shared" si="47"/>
        <v>{ file:'2.16.840.1.113883.10.20.22.4.319.html', href:'https://hl7.org/cda/us/ccda/Binary-serial-number-observation-example.html', text:'serial-number-observation-example' },</v>
      </c>
    </row>
    <row r="507" spans="1:11" x14ac:dyDescent="0.25">
      <c r="A507" t="s">
        <v>1331</v>
      </c>
      <c r="B507" t="s">
        <v>327</v>
      </c>
      <c r="C507">
        <f t="shared" si="42"/>
        <v>13</v>
      </c>
      <c r="D507" t="e">
        <f t="shared" si="43"/>
        <v>#VALUE!</v>
      </c>
      <c r="E507">
        <f t="shared" si="44"/>
        <v>100</v>
      </c>
      <c r="F507" t="s">
        <v>584</v>
      </c>
      <c r="G507">
        <f t="shared" si="45"/>
        <v>32</v>
      </c>
      <c r="H507" t="s">
        <v>701</v>
      </c>
      <c r="I507" t="str">
        <f t="shared" si="46"/>
        <v>https://hl7.org/cda/us/ccda/Binary-service-delivery-location-example.html</v>
      </c>
      <c r="J507" t="s">
        <v>1553</v>
      </c>
      <c r="K507" t="str">
        <f t="shared" si="47"/>
        <v>{ file:'2.16.840.1.113883.10.20.22.4.32.html', href:'https://hl7.org/cda/us/ccda/Binary-service-delivery-location-example.html', text:'service-delivery-location-example' },</v>
      </c>
    </row>
    <row r="508" spans="1:11" x14ac:dyDescent="0.25">
      <c r="A508" t="s">
        <v>1332</v>
      </c>
      <c r="B508" t="s">
        <v>137</v>
      </c>
      <c r="C508">
        <f t="shared" si="42"/>
        <v>13</v>
      </c>
      <c r="D508">
        <f t="shared" si="43"/>
        <v>51</v>
      </c>
      <c r="E508">
        <f t="shared" si="44"/>
        <v>51</v>
      </c>
      <c r="F508" t="s">
        <v>381</v>
      </c>
      <c r="G508">
        <f t="shared" si="45"/>
        <v>31</v>
      </c>
      <c r="H508" t="s">
        <v>629</v>
      </c>
      <c r="I508" t="str">
        <f t="shared" si="46"/>
        <v>https://hl7.org/cda/us/ccda/Binary-severity-observation-example.html</v>
      </c>
      <c r="J508" t="s">
        <v>1554</v>
      </c>
      <c r="K508" t="str">
        <f t="shared" si="47"/>
        <v>{ file:'2.16.840.1.113883.10.20.22.4.8.html', href:'https://hl7.org/cda/us/ccda/Binary-severity-observation-example.html', text:'severity-observation-example' },</v>
      </c>
    </row>
    <row r="509" spans="1:11" x14ac:dyDescent="0.25">
      <c r="A509" t="s">
        <v>1333</v>
      </c>
      <c r="B509" t="s">
        <v>328</v>
      </c>
      <c r="C509">
        <f t="shared" si="42"/>
        <v>13</v>
      </c>
      <c r="D509">
        <f t="shared" si="43"/>
        <v>53</v>
      </c>
      <c r="E509">
        <f t="shared" si="44"/>
        <v>53</v>
      </c>
      <c r="F509" t="s">
        <v>585</v>
      </c>
      <c r="G509">
        <f t="shared" si="45"/>
        <v>33</v>
      </c>
      <c r="H509" t="s">
        <v>813</v>
      </c>
      <c r="I509" t="str">
        <f t="shared" si="46"/>
        <v>https://hl7.org/cda/us/ccda/Binary-sex-observation-example.html</v>
      </c>
      <c r="J509" t="s">
        <v>1555</v>
      </c>
      <c r="K509" t="str">
        <f t="shared" si="47"/>
        <v>{ file:'2.16.840.1.113883.10.20.22.4.507.html', href:'https://hl7.org/cda/us/ccda/Binary-sex-observation-example.html', text:'sex-observation-example' },</v>
      </c>
    </row>
    <row r="510" spans="1:11" x14ac:dyDescent="0.25">
      <c r="A510" t="s">
        <v>1334</v>
      </c>
      <c r="B510" t="s">
        <v>328</v>
      </c>
      <c r="C510">
        <f t="shared" si="42"/>
        <v>13</v>
      </c>
      <c r="D510">
        <f t="shared" si="43"/>
        <v>53</v>
      </c>
      <c r="E510">
        <f t="shared" si="44"/>
        <v>53</v>
      </c>
      <c r="F510" t="s">
        <v>585</v>
      </c>
      <c r="G510">
        <f t="shared" si="45"/>
        <v>33</v>
      </c>
      <c r="H510" t="s">
        <v>813</v>
      </c>
      <c r="I510" t="str">
        <f t="shared" si="46"/>
        <v>https://hl7.org/cda/us/ccda/Binary-sex-observation-nullflavor-example.html</v>
      </c>
      <c r="J510" t="s">
        <v>1556</v>
      </c>
      <c r="K510" t="str">
        <f t="shared" si="47"/>
        <v>{ file:'2.16.840.1.113883.10.20.22.4.507.html', href:'https://hl7.org/cda/us/ccda/Binary-sex-observation-nullflavor-example.html', text:'sex-observation-nullflavor-example' },</v>
      </c>
    </row>
    <row r="511" spans="1:11" x14ac:dyDescent="0.25">
      <c r="A511" t="s">
        <v>1335</v>
      </c>
      <c r="B511" t="s">
        <v>329</v>
      </c>
      <c r="C511">
        <f t="shared" si="42"/>
        <v>13</v>
      </c>
      <c r="D511">
        <f t="shared" si="43"/>
        <v>53</v>
      </c>
      <c r="E511">
        <f t="shared" si="44"/>
        <v>53</v>
      </c>
      <c r="F511" t="s">
        <v>586</v>
      </c>
      <c r="G511">
        <f t="shared" si="45"/>
        <v>33</v>
      </c>
      <c r="H511" t="s">
        <v>814</v>
      </c>
      <c r="I511" t="str">
        <f t="shared" si="46"/>
        <v>https://hl7.org/cda/us/ccda/Binary-sexual-orientation-observation-example.html</v>
      </c>
      <c r="J511" t="s">
        <v>1557</v>
      </c>
      <c r="K511" t="str">
        <f t="shared" si="47"/>
        <v>{ file:'2.16.840.1.113883.10.20.22.4.501.html', href:'https://hl7.org/cda/us/ccda/Binary-sexual-orientation-observation-example.html', text:'sexual-orientation-observation-example' },</v>
      </c>
    </row>
    <row r="512" spans="1:11" x14ac:dyDescent="0.25">
      <c r="A512" t="s">
        <v>1335</v>
      </c>
      <c r="B512" t="s">
        <v>330</v>
      </c>
      <c r="C512">
        <f t="shared" si="42"/>
        <v>15</v>
      </c>
      <c r="D512" t="e">
        <f t="shared" si="43"/>
        <v>#VALUE!</v>
      </c>
      <c r="E512">
        <f t="shared" si="44"/>
        <v>100</v>
      </c>
      <c r="F512" t="s">
        <v>372</v>
      </c>
      <c r="G512">
        <f t="shared" si="45"/>
        <v>33</v>
      </c>
      <c r="H512" t="s">
        <v>620</v>
      </c>
      <c r="I512" t="str">
        <f t="shared" si="46"/>
        <v>https://hl7.org/cda/us/ccda/Binary-sexual-orientation-observation-example.html</v>
      </c>
      <c r="J512" t="s">
        <v>1557</v>
      </c>
      <c r="K512" t="str">
        <f t="shared" si="47"/>
        <v>{ file:'2.16.840.1.113883.10.20.22.4.119.html', href:'https://hl7.org/cda/us/ccda/Binary-sexual-orientation-observation-example.html', text:'sexual-orientation-observation-example' },</v>
      </c>
    </row>
    <row r="513" spans="1:11" x14ac:dyDescent="0.25">
      <c r="A513" t="s">
        <v>1336</v>
      </c>
      <c r="B513" t="s">
        <v>329</v>
      </c>
      <c r="C513">
        <f t="shared" si="42"/>
        <v>13</v>
      </c>
      <c r="D513">
        <f t="shared" si="43"/>
        <v>53</v>
      </c>
      <c r="E513">
        <f t="shared" si="44"/>
        <v>53</v>
      </c>
      <c r="F513" t="s">
        <v>586</v>
      </c>
      <c r="G513">
        <f t="shared" si="45"/>
        <v>33</v>
      </c>
      <c r="H513" t="s">
        <v>814</v>
      </c>
      <c r="I513" t="str">
        <f t="shared" si="46"/>
        <v>https://hl7.org/cda/us/ccda/Binary-sexual-orientation-observation-nullflavor-example.html</v>
      </c>
      <c r="J513" t="s">
        <v>1558</v>
      </c>
      <c r="K513" t="str">
        <f t="shared" si="47"/>
        <v>{ file:'2.16.840.1.113883.10.20.22.4.501.html', href:'https://hl7.org/cda/us/ccda/Binary-sexual-orientation-observation-nullflavor-example.html', text:'sexual-orientation-observation-nullflavor-example' },</v>
      </c>
    </row>
    <row r="514" spans="1:11" x14ac:dyDescent="0.25">
      <c r="A514" t="s">
        <v>1336</v>
      </c>
      <c r="B514" t="s">
        <v>330</v>
      </c>
      <c r="C514">
        <f t="shared" si="42"/>
        <v>15</v>
      </c>
      <c r="D514" t="e">
        <f t="shared" si="43"/>
        <v>#VALUE!</v>
      </c>
      <c r="E514">
        <f t="shared" si="44"/>
        <v>100</v>
      </c>
      <c r="F514" t="s">
        <v>372</v>
      </c>
      <c r="G514">
        <f t="shared" si="45"/>
        <v>33</v>
      </c>
      <c r="H514" t="s">
        <v>620</v>
      </c>
      <c r="I514" t="str">
        <f t="shared" si="46"/>
        <v>https://hl7.org/cda/us/ccda/Binary-sexual-orientation-observation-nullflavor-example.html</v>
      </c>
      <c r="J514" t="s">
        <v>1558</v>
      </c>
      <c r="K514" t="str">
        <f t="shared" si="47"/>
        <v>{ file:'2.16.840.1.113883.10.20.22.4.119.html', href:'https://hl7.org/cda/us/ccda/Binary-sexual-orientation-observation-nullflavor-example.html', text:'sexual-orientation-observation-nullflavor-example' },</v>
      </c>
    </row>
    <row r="515" spans="1:11" x14ac:dyDescent="0.25">
      <c r="A515" t="s">
        <v>1337</v>
      </c>
      <c r="B515" t="s">
        <v>331</v>
      </c>
      <c r="C515">
        <f t="shared" ref="C515:C578" si="48">FIND("root=",B515,1)</f>
        <v>13</v>
      </c>
      <c r="D515">
        <f t="shared" ref="D515:D578" si="49">FIND("extension",B515,1)</f>
        <v>53</v>
      </c>
      <c r="E515">
        <f t="shared" ref="E515:E578" si="50">IF(ISERR(D515),100,D515)</f>
        <v>53</v>
      </c>
      <c r="F515" t="s">
        <v>587</v>
      </c>
      <c r="G515">
        <f t="shared" ref="G515:G578" si="51">FIND("/",F515,1)</f>
        <v>33</v>
      </c>
      <c r="H515" t="s">
        <v>815</v>
      </c>
      <c r="I515" t="str">
        <f t="shared" ref="I515:I578" si="52">"https://hl7.org/cda/us/ccda/Binary-"&amp;A515&amp;".html"</f>
        <v>https://hl7.org/cda/us/ccda/Binary-smoking-status-coded-example.html</v>
      </c>
      <c r="J515" t="s">
        <v>1559</v>
      </c>
      <c r="K515" t="str">
        <f t="shared" ref="K515:K578" si="53">"{ file:'"&amp;H515&amp;".html', href:'"&amp;I515&amp;"', text:'"&amp;A515&amp;"' },"</f>
        <v>{ file:'2.16.840.1.113883.10.20.22.4.511.html', href:'https://hl7.org/cda/us/ccda/Binary-smoking-status-coded-example.html', text:'smoking-status-coded-example' },</v>
      </c>
    </row>
    <row r="516" spans="1:11" x14ac:dyDescent="0.25">
      <c r="A516" t="s">
        <v>1338</v>
      </c>
      <c r="B516" t="s">
        <v>332</v>
      </c>
      <c r="C516">
        <f t="shared" si="48"/>
        <v>13</v>
      </c>
      <c r="D516">
        <f t="shared" si="49"/>
        <v>52</v>
      </c>
      <c r="E516">
        <f t="shared" si="50"/>
        <v>52</v>
      </c>
      <c r="F516" t="s">
        <v>588</v>
      </c>
      <c r="G516">
        <f t="shared" si="51"/>
        <v>32</v>
      </c>
      <c r="H516" t="s">
        <v>816</v>
      </c>
      <c r="I516" t="str">
        <f t="shared" si="52"/>
        <v>https://hl7.org/cda/us/ccda/Binary-smoking-status-meaningful-use-example.html</v>
      </c>
      <c r="J516" t="s">
        <v>1560</v>
      </c>
      <c r="K516" t="str">
        <f t="shared" si="53"/>
        <v>{ file:'2.16.840.1.113883.10.20.22.4.78.html', href:'https://hl7.org/cda/us/ccda/Binary-smoking-status-meaningful-use-example.html', text:'smoking-status-meaningful-use-example' },</v>
      </c>
    </row>
    <row r="517" spans="1:11" x14ac:dyDescent="0.25">
      <c r="A517" t="s">
        <v>1338</v>
      </c>
      <c r="B517" t="s">
        <v>124</v>
      </c>
      <c r="C517">
        <f t="shared" si="48"/>
        <v>13</v>
      </c>
      <c r="D517" t="e">
        <f t="shared" si="49"/>
        <v>#VALUE!</v>
      </c>
      <c r="E517">
        <f t="shared" si="50"/>
        <v>100</v>
      </c>
      <c r="F517" t="s">
        <v>372</v>
      </c>
      <c r="G517">
        <f t="shared" si="51"/>
        <v>33</v>
      </c>
      <c r="H517" t="s">
        <v>620</v>
      </c>
      <c r="I517" t="str">
        <f t="shared" si="52"/>
        <v>https://hl7.org/cda/us/ccda/Binary-smoking-status-meaningful-use-example.html</v>
      </c>
      <c r="J517" t="s">
        <v>1560</v>
      </c>
      <c r="K517" t="str">
        <f t="shared" si="53"/>
        <v>{ file:'2.16.840.1.113883.10.20.22.4.119.html', href:'https://hl7.org/cda/us/ccda/Binary-smoking-status-meaningful-use-example.html', text:'smoking-status-meaningful-use-example' },</v>
      </c>
    </row>
    <row r="518" spans="1:11" x14ac:dyDescent="0.25">
      <c r="A518" t="s">
        <v>1339</v>
      </c>
      <c r="B518" t="s">
        <v>331</v>
      </c>
      <c r="C518">
        <f t="shared" si="48"/>
        <v>13</v>
      </c>
      <c r="D518">
        <f t="shared" si="49"/>
        <v>53</v>
      </c>
      <c r="E518">
        <f t="shared" si="50"/>
        <v>53</v>
      </c>
      <c r="F518" t="s">
        <v>587</v>
      </c>
      <c r="G518">
        <f t="shared" si="51"/>
        <v>33</v>
      </c>
      <c r="H518" t="s">
        <v>815</v>
      </c>
      <c r="I518" t="str">
        <f t="shared" si="52"/>
        <v>https://hl7.org/cda/us/ccda/Binary-smoking-status-quantity-example.html</v>
      </c>
      <c r="J518" t="s">
        <v>1561</v>
      </c>
      <c r="K518" t="str">
        <f t="shared" si="53"/>
        <v>{ file:'2.16.840.1.113883.10.20.22.4.511.html', href:'https://hl7.org/cda/us/ccda/Binary-smoking-status-quantity-example.html', text:'smoking-status-quantity-example' },</v>
      </c>
    </row>
    <row r="519" spans="1:11" x14ac:dyDescent="0.25">
      <c r="A519" t="s">
        <v>1340</v>
      </c>
      <c r="B519" t="s">
        <v>333</v>
      </c>
      <c r="C519">
        <f t="shared" si="48"/>
        <v>13</v>
      </c>
      <c r="D519" t="e">
        <f t="shared" si="49"/>
        <v>#VALUE!</v>
      </c>
      <c r="E519">
        <f t="shared" si="50"/>
        <v>100</v>
      </c>
      <c r="F519" t="s">
        <v>589</v>
      </c>
      <c r="G519">
        <f t="shared" si="51"/>
        <v>32</v>
      </c>
      <c r="H519" t="s">
        <v>641</v>
      </c>
      <c r="I519" t="str">
        <f t="shared" si="52"/>
        <v>https://hl7.org/cda/us/ccda/Binary-social-history-observation-example.html</v>
      </c>
      <c r="J519" t="s">
        <v>1562</v>
      </c>
      <c r="K519" t="str">
        <f t="shared" si="53"/>
        <v>{ file:'2.16.840.1.113883.10.20.22.4.38.html', href:'https://hl7.org/cda/us/ccda/Binary-social-history-observation-example.html', text:'social-history-observation-example' },</v>
      </c>
    </row>
    <row r="520" spans="1:11" x14ac:dyDescent="0.25">
      <c r="A520" t="s">
        <v>1340</v>
      </c>
      <c r="B520" t="s">
        <v>124</v>
      </c>
      <c r="C520">
        <f t="shared" si="48"/>
        <v>13</v>
      </c>
      <c r="D520" t="e">
        <f t="shared" si="49"/>
        <v>#VALUE!</v>
      </c>
      <c r="E520">
        <f t="shared" si="50"/>
        <v>100</v>
      </c>
      <c r="F520" t="s">
        <v>372</v>
      </c>
      <c r="G520">
        <f t="shared" si="51"/>
        <v>33</v>
      </c>
      <c r="H520" t="s">
        <v>620</v>
      </c>
      <c r="I520" t="str">
        <f t="shared" si="52"/>
        <v>https://hl7.org/cda/us/ccda/Binary-social-history-observation-example.html</v>
      </c>
      <c r="J520" t="s">
        <v>1562</v>
      </c>
      <c r="K520" t="str">
        <f t="shared" si="53"/>
        <v>{ file:'2.16.840.1.113883.10.20.22.4.119.html', href:'https://hl7.org/cda/us/ccda/Binary-social-history-observation-example.html', text:'social-history-observation-example' },</v>
      </c>
    </row>
    <row r="521" spans="1:11" x14ac:dyDescent="0.25">
      <c r="A521" t="s">
        <v>1341</v>
      </c>
      <c r="B521" t="s">
        <v>334</v>
      </c>
      <c r="C521">
        <f t="shared" si="48"/>
        <v>13</v>
      </c>
      <c r="D521">
        <f t="shared" si="49"/>
        <v>52</v>
      </c>
      <c r="E521">
        <f t="shared" si="50"/>
        <v>52</v>
      </c>
      <c r="F521" t="s">
        <v>416</v>
      </c>
      <c r="G521">
        <f t="shared" si="51"/>
        <v>32</v>
      </c>
      <c r="H521" t="s">
        <v>662</v>
      </c>
      <c r="I521" t="str">
        <f t="shared" si="52"/>
        <v>https://hl7.org/cda/us/ccda/Binary-social-history-section-example.html</v>
      </c>
      <c r="J521" t="s">
        <v>1563</v>
      </c>
      <c r="K521" t="str">
        <f t="shared" si="53"/>
        <v>{ file:'2.16.840.1.113883.10.20.22.2.17.html', href:'https://hl7.org/cda/us/ccda/Binary-social-history-section-example.html', text:'social-history-section-example' },</v>
      </c>
    </row>
    <row r="522" spans="1:11" x14ac:dyDescent="0.25">
      <c r="A522" t="s">
        <v>1341</v>
      </c>
      <c r="B522" t="s">
        <v>335</v>
      </c>
      <c r="C522">
        <f t="shared" si="48"/>
        <v>13</v>
      </c>
      <c r="D522">
        <f t="shared" si="49"/>
        <v>52</v>
      </c>
      <c r="E522">
        <f t="shared" si="50"/>
        <v>52</v>
      </c>
      <c r="F522" t="s">
        <v>395</v>
      </c>
      <c r="G522">
        <f t="shared" si="51"/>
        <v>32</v>
      </c>
      <c r="H522" t="s">
        <v>641</v>
      </c>
      <c r="I522" t="str">
        <f t="shared" si="52"/>
        <v>https://hl7.org/cda/us/ccda/Binary-social-history-section-example.html</v>
      </c>
      <c r="J522" t="s">
        <v>1563</v>
      </c>
      <c r="K522" t="str">
        <f t="shared" si="53"/>
        <v>{ file:'2.16.840.1.113883.10.20.22.4.38.html', href:'https://hl7.org/cda/us/ccda/Binary-social-history-section-example.html', text:'social-history-section-example' },</v>
      </c>
    </row>
    <row r="523" spans="1:11" x14ac:dyDescent="0.25">
      <c r="A523" t="s">
        <v>1341</v>
      </c>
      <c r="B523" t="s">
        <v>331</v>
      </c>
      <c r="C523">
        <f t="shared" si="48"/>
        <v>13</v>
      </c>
      <c r="D523">
        <f t="shared" si="49"/>
        <v>53</v>
      </c>
      <c r="E523">
        <f t="shared" si="50"/>
        <v>53</v>
      </c>
      <c r="F523" t="s">
        <v>587</v>
      </c>
      <c r="G523">
        <f t="shared" si="51"/>
        <v>33</v>
      </c>
      <c r="H523" t="s">
        <v>815</v>
      </c>
      <c r="I523" t="str">
        <f t="shared" si="52"/>
        <v>https://hl7.org/cda/us/ccda/Binary-social-history-section-example.html</v>
      </c>
      <c r="J523" t="s">
        <v>1563</v>
      </c>
      <c r="K523" t="str">
        <f t="shared" si="53"/>
        <v>{ file:'2.16.840.1.113883.10.20.22.4.511.html', href:'https://hl7.org/cda/us/ccda/Binary-social-history-section-example.html', text:'social-history-section-example' },</v>
      </c>
    </row>
    <row r="524" spans="1:11" x14ac:dyDescent="0.25">
      <c r="A524" t="s">
        <v>1341</v>
      </c>
      <c r="B524" t="s">
        <v>124</v>
      </c>
      <c r="C524">
        <f t="shared" si="48"/>
        <v>13</v>
      </c>
      <c r="D524" t="e">
        <f t="shared" si="49"/>
        <v>#VALUE!</v>
      </c>
      <c r="E524">
        <f t="shared" si="50"/>
        <v>100</v>
      </c>
      <c r="F524" t="s">
        <v>372</v>
      </c>
      <c r="G524">
        <f t="shared" si="51"/>
        <v>33</v>
      </c>
      <c r="H524" t="s">
        <v>620</v>
      </c>
      <c r="I524" t="str">
        <f t="shared" si="52"/>
        <v>https://hl7.org/cda/us/ccda/Binary-social-history-section-example.html</v>
      </c>
      <c r="J524" t="s">
        <v>1563</v>
      </c>
      <c r="K524" t="str">
        <f t="shared" si="53"/>
        <v>{ file:'2.16.840.1.113883.10.20.22.4.119.html', href:'https://hl7.org/cda/us/ccda/Binary-social-history-section-example.html', text:'social-history-section-example' },</v>
      </c>
    </row>
    <row r="525" spans="1:11" x14ac:dyDescent="0.25">
      <c r="A525" t="s">
        <v>1341</v>
      </c>
      <c r="B525" t="s">
        <v>196</v>
      </c>
      <c r="C525">
        <f t="shared" si="48"/>
        <v>13</v>
      </c>
      <c r="D525" t="e">
        <f t="shared" si="49"/>
        <v>#VALUE!</v>
      </c>
      <c r="E525">
        <f t="shared" si="50"/>
        <v>100</v>
      </c>
      <c r="F525" t="s">
        <v>471</v>
      </c>
      <c r="G525">
        <f t="shared" si="51"/>
        <v>32</v>
      </c>
      <c r="H525" t="s">
        <v>657</v>
      </c>
      <c r="I525" t="str">
        <f t="shared" si="52"/>
        <v>https://hl7.org/cda/us/ccda/Binary-social-history-section-example.html</v>
      </c>
      <c r="J525" t="s">
        <v>1563</v>
      </c>
      <c r="K525" t="str">
        <f t="shared" si="53"/>
        <v>{ file:'2.16.840.1.113883.10.20.22.4.72.html', href:'https://hl7.org/cda/us/ccda/Binary-social-history-section-example.html', text:'social-history-section-example' },</v>
      </c>
    </row>
    <row r="526" spans="1:11" x14ac:dyDescent="0.25">
      <c r="A526" t="s">
        <v>1341</v>
      </c>
      <c r="B526" t="s">
        <v>170</v>
      </c>
      <c r="C526">
        <f t="shared" si="48"/>
        <v>13</v>
      </c>
      <c r="D526" t="e">
        <f t="shared" si="49"/>
        <v>#VALUE!</v>
      </c>
      <c r="E526">
        <f t="shared" si="50"/>
        <v>100</v>
      </c>
      <c r="F526" t="s">
        <v>437</v>
      </c>
      <c r="G526">
        <f t="shared" si="51"/>
        <v>33</v>
      </c>
      <c r="H526" t="s">
        <v>683</v>
      </c>
      <c r="I526" t="str">
        <f t="shared" si="52"/>
        <v>https://hl7.org/cda/us/ccda/Binary-social-history-section-example.html</v>
      </c>
      <c r="J526" t="s">
        <v>1563</v>
      </c>
      <c r="K526" t="str">
        <f t="shared" si="53"/>
        <v>{ file:'2.16.840.1.113883.10.20.22.4.111.html', href:'https://hl7.org/cda/us/ccda/Binary-social-history-section-example.html', text:'social-history-section-example' },</v>
      </c>
    </row>
    <row r="527" spans="1:11" x14ac:dyDescent="0.25">
      <c r="A527" t="s">
        <v>1341</v>
      </c>
      <c r="B527" t="s">
        <v>159</v>
      </c>
      <c r="C527">
        <f t="shared" si="48"/>
        <v>13</v>
      </c>
      <c r="D527" t="e">
        <f t="shared" si="49"/>
        <v>#VALUE!</v>
      </c>
      <c r="E527">
        <f t="shared" si="50"/>
        <v>100</v>
      </c>
      <c r="F527" t="s">
        <v>421</v>
      </c>
      <c r="G527">
        <f t="shared" si="51"/>
        <v>33</v>
      </c>
      <c r="H527" t="s">
        <v>667</v>
      </c>
      <c r="I527" t="str">
        <f t="shared" si="52"/>
        <v>https://hl7.org/cda/us/ccda/Binary-social-history-section-example.html</v>
      </c>
      <c r="J527" t="s">
        <v>1563</v>
      </c>
      <c r="K527" t="str">
        <f t="shared" si="53"/>
        <v>{ file:'2.16.840.1.113883.10.20.22.4.109.html', href:'https://hl7.org/cda/us/ccda/Binary-social-history-section-example.html', text:'social-history-section-example' },</v>
      </c>
    </row>
    <row r="528" spans="1:11" x14ac:dyDescent="0.25">
      <c r="A528" t="s">
        <v>1342</v>
      </c>
      <c r="B528" t="s">
        <v>336</v>
      </c>
      <c r="C528">
        <f t="shared" si="48"/>
        <v>13</v>
      </c>
      <c r="D528">
        <f t="shared" si="49"/>
        <v>53</v>
      </c>
      <c r="E528">
        <f t="shared" si="50"/>
        <v>53</v>
      </c>
      <c r="F528" t="s">
        <v>578</v>
      </c>
      <c r="G528">
        <f t="shared" si="51"/>
        <v>33</v>
      </c>
      <c r="H528" t="s">
        <v>808</v>
      </c>
      <c r="I528" t="str">
        <f t="shared" si="52"/>
        <v>https://hl7.org/cda/us/ccda/Binary-specimen-collection-procedure-example.html</v>
      </c>
      <c r="J528" t="s">
        <v>1564</v>
      </c>
      <c r="K528" t="str">
        <f t="shared" si="53"/>
        <v>{ file:'2.16.840.1.113883.10.20.22.4.415.html', href:'https://hl7.org/cda/us/ccda/Binary-specimen-collection-procedure-example.html', text:'specimen-collection-procedure-example' },</v>
      </c>
    </row>
    <row r="529" spans="1:11" x14ac:dyDescent="0.25">
      <c r="A529" t="s">
        <v>1342</v>
      </c>
      <c r="B529" t="s">
        <v>337</v>
      </c>
      <c r="C529">
        <f t="shared" si="48"/>
        <v>16</v>
      </c>
      <c r="D529">
        <f t="shared" si="49"/>
        <v>56</v>
      </c>
      <c r="E529">
        <f t="shared" si="50"/>
        <v>56</v>
      </c>
      <c r="F529" t="s">
        <v>579</v>
      </c>
      <c r="G529">
        <f t="shared" si="51"/>
        <v>33</v>
      </c>
      <c r="H529" t="s">
        <v>809</v>
      </c>
      <c r="I529" t="str">
        <f t="shared" si="52"/>
        <v>https://hl7.org/cda/us/ccda/Binary-specimen-collection-procedure-example.html</v>
      </c>
      <c r="J529" t="s">
        <v>1564</v>
      </c>
      <c r="K529" t="str">
        <f t="shared" si="53"/>
        <v>{ file:'2.16.840.1.113883.10.20.22.4.421.html', href:'https://hl7.org/cda/us/ccda/Binary-specimen-collection-procedure-example.html', text:'specimen-collection-procedure-example' },</v>
      </c>
    </row>
    <row r="530" spans="1:11" x14ac:dyDescent="0.25">
      <c r="A530" t="s">
        <v>1343</v>
      </c>
      <c r="B530" t="s">
        <v>338</v>
      </c>
      <c r="C530">
        <f t="shared" si="48"/>
        <v>13</v>
      </c>
      <c r="D530">
        <f t="shared" si="49"/>
        <v>53</v>
      </c>
      <c r="E530">
        <f t="shared" si="50"/>
        <v>53</v>
      </c>
      <c r="F530" t="s">
        <v>579</v>
      </c>
      <c r="G530">
        <f t="shared" si="51"/>
        <v>33</v>
      </c>
      <c r="H530" t="s">
        <v>809</v>
      </c>
      <c r="I530" t="str">
        <f t="shared" si="52"/>
        <v>https://hl7.org/cda/us/ccda/Binary-specimen-condition-observation-example.html</v>
      </c>
      <c r="J530" t="s">
        <v>1565</v>
      </c>
      <c r="K530" t="str">
        <f t="shared" si="53"/>
        <v>{ file:'2.16.840.1.113883.10.20.22.4.421.html', href:'https://hl7.org/cda/us/ccda/Binary-specimen-condition-observation-example.html', text:'specimen-condition-observation-example' },</v>
      </c>
    </row>
    <row r="531" spans="1:11" x14ac:dyDescent="0.25">
      <c r="A531" t="s">
        <v>1344</v>
      </c>
      <c r="B531" t="s">
        <v>339</v>
      </c>
      <c r="C531">
        <f t="shared" si="48"/>
        <v>13</v>
      </c>
      <c r="D531" t="e">
        <f t="shared" si="49"/>
        <v>#VALUE!</v>
      </c>
      <c r="E531">
        <f t="shared" si="50"/>
        <v>100</v>
      </c>
      <c r="F531" t="s">
        <v>590</v>
      </c>
      <c r="G531">
        <f t="shared" si="51"/>
        <v>31</v>
      </c>
      <c r="H531" t="s">
        <v>817</v>
      </c>
      <c r="I531" t="str">
        <f t="shared" si="52"/>
        <v>https://hl7.org/cda/us/ccda/Binary-subjective-section-example.html</v>
      </c>
      <c r="J531" t="s">
        <v>1566</v>
      </c>
      <c r="K531" t="str">
        <f t="shared" si="53"/>
        <v>{ file:'2.16.840.1.113883.10.20.21.2.2.html', href:'https://hl7.org/cda/us/ccda/Binary-subjective-section-example.html', text:'subjective-section-example' },</v>
      </c>
    </row>
    <row r="532" spans="1:11" x14ac:dyDescent="0.25">
      <c r="A532" t="s">
        <v>1345</v>
      </c>
      <c r="B532" t="s">
        <v>340</v>
      </c>
      <c r="C532">
        <f t="shared" si="48"/>
        <v>13</v>
      </c>
      <c r="D532" t="e">
        <f t="shared" si="49"/>
        <v>#VALUE!</v>
      </c>
      <c r="E532">
        <f t="shared" si="50"/>
        <v>100</v>
      </c>
      <c r="F532" t="s">
        <v>591</v>
      </c>
      <c r="G532">
        <f t="shared" si="51"/>
        <v>33</v>
      </c>
      <c r="H532" t="s">
        <v>818</v>
      </c>
      <c r="I532" t="str">
        <f t="shared" si="52"/>
        <v>https://hl7.org/cda/us/ccda/Binary-substance-administered-act-example.html</v>
      </c>
      <c r="J532" t="s">
        <v>1567</v>
      </c>
      <c r="K532" t="str">
        <f t="shared" si="53"/>
        <v>{ file:'2.16.840.1.113883.10.20.22.4.118.html', href:'https://hl7.org/cda/us/ccda/Binary-substance-administered-act-example.html', text:'substance-administered-act-example' },</v>
      </c>
    </row>
    <row r="533" spans="1:11" x14ac:dyDescent="0.25">
      <c r="A533" t="s">
        <v>1345</v>
      </c>
      <c r="B533" t="s">
        <v>340</v>
      </c>
      <c r="C533">
        <f t="shared" si="48"/>
        <v>13</v>
      </c>
      <c r="D533" t="e">
        <f t="shared" si="49"/>
        <v>#VALUE!</v>
      </c>
      <c r="E533">
        <f t="shared" si="50"/>
        <v>100</v>
      </c>
      <c r="F533" t="s">
        <v>591</v>
      </c>
      <c r="G533">
        <f t="shared" si="51"/>
        <v>33</v>
      </c>
      <c r="H533" t="s">
        <v>818</v>
      </c>
      <c r="I533" t="str">
        <f t="shared" si="52"/>
        <v>https://hl7.org/cda/us/ccda/Binary-substance-administered-act-example.html</v>
      </c>
      <c r="J533" t="s">
        <v>1567</v>
      </c>
      <c r="K533" t="str">
        <f t="shared" si="53"/>
        <v>{ file:'2.16.840.1.113883.10.20.22.4.118.html', href:'https://hl7.org/cda/us/ccda/Binary-substance-administered-act-example.html', text:'substance-administered-act-example' },</v>
      </c>
    </row>
    <row r="534" spans="1:11" x14ac:dyDescent="0.25">
      <c r="A534" t="s">
        <v>1346</v>
      </c>
      <c r="B534" t="s">
        <v>341</v>
      </c>
      <c r="C534">
        <f t="shared" si="48"/>
        <v>13</v>
      </c>
      <c r="D534" t="e">
        <f t="shared" si="49"/>
        <v>#VALUE!</v>
      </c>
      <c r="E534">
        <f t="shared" si="50"/>
        <v>100</v>
      </c>
      <c r="F534" t="s">
        <v>592</v>
      </c>
      <c r="G534">
        <f t="shared" si="51"/>
        <v>29</v>
      </c>
      <c r="H534" t="s">
        <v>819</v>
      </c>
      <c r="I534" t="str">
        <f t="shared" si="52"/>
        <v>https://hl7.org/cda/us/ccda/Binary-surgical-drains-section-example.html</v>
      </c>
      <c r="J534" t="s">
        <v>1568</v>
      </c>
      <c r="K534" t="str">
        <f t="shared" si="53"/>
        <v>{ file:'2.16.840.1.113883.10.20.7.13.html', href:'https://hl7.org/cda/us/ccda/Binary-surgical-drains-section-example.html', text:'surgical-drains-section-example' },</v>
      </c>
    </row>
    <row r="535" spans="1:11" x14ac:dyDescent="0.25">
      <c r="A535" t="s">
        <v>1347</v>
      </c>
      <c r="B535" t="s">
        <v>342</v>
      </c>
      <c r="C535">
        <f t="shared" si="48"/>
        <v>13</v>
      </c>
      <c r="D535">
        <f t="shared" si="49"/>
        <v>52</v>
      </c>
      <c r="E535">
        <f t="shared" si="50"/>
        <v>52</v>
      </c>
      <c r="F535" t="s">
        <v>478</v>
      </c>
      <c r="G535">
        <f t="shared" si="51"/>
        <v>32</v>
      </c>
      <c r="H535" t="s">
        <v>721</v>
      </c>
      <c r="I535" t="str">
        <f t="shared" si="52"/>
        <v>https://hl7.org/cda/us/ccda/Binary-tobacco-use-example.html</v>
      </c>
      <c r="J535" t="s">
        <v>1569</v>
      </c>
      <c r="K535" t="str">
        <f t="shared" si="53"/>
        <v>{ file:'2.16.840.1.113883.10.20.22.4.85.html', href:'https://hl7.org/cda/us/ccda/Binary-tobacco-use-example.html', text:'tobacco-use-example' },</v>
      </c>
    </row>
    <row r="536" spans="1:11" x14ac:dyDescent="0.25">
      <c r="A536" t="s">
        <v>1347</v>
      </c>
      <c r="B536" t="s">
        <v>124</v>
      </c>
      <c r="C536">
        <f t="shared" si="48"/>
        <v>13</v>
      </c>
      <c r="D536" t="e">
        <f t="shared" si="49"/>
        <v>#VALUE!</v>
      </c>
      <c r="E536">
        <f t="shared" si="50"/>
        <v>100</v>
      </c>
      <c r="F536" t="s">
        <v>372</v>
      </c>
      <c r="G536">
        <f t="shared" si="51"/>
        <v>33</v>
      </c>
      <c r="H536" t="s">
        <v>620</v>
      </c>
      <c r="I536" t="str">
        <f t="shared" si="52"/>
        <v>https://hl7.org/cda/us/ccda/Binary-tobacco-use-example.html</v>
      </c>
      <c r="J536" t="s">
        <v>1569</v>
      </c>
      <c r="K536" t="str">
        <f t="shared" si="53"/>
        <v>{ file:'2.16.840.1.113883.10.20.22.4.119.html', href:'https://hl7.org/cda/us/ccda/Binary-tobacco-use-example.html', text:'tobacco-use-example' },</v>
      </c>
    </row>
    <row r="537" spans="1:11" x14ac:dyDescent="0.25">
      <c r="A537" t="s">
        <v>1348</v>
      </c>
      <c r="B537" t="s">
        <v>270</v>
      </c>
      <c r="C537">
        <f t="shared" si="48"/>
        <v>13</v>
      </c>
      <c r="D537">
        <f t="shared" si="49"/>
        <v>51</v>
      </c>
      <c r="E537">
        <f t="shared" si="50"/>
        <v>51</v>
      </c>
      <c r="F537" t="s">
        <v>400</v>
      </c>
      <c r="G537">
        <f t="shared" si="51"/>
        <v>31</v>
      </c>
      <c r="H537" t="s">
        <v>646</v>
      </c>
      <c r="I537" t="str">
        <f t="shared" si="52"/>
        <v>https://hl7.org/cda/us/ccda/Binary-transfer-summary-header-example.html</v>
      </c>
      <c r="J537" t="s">
        <v>1570</v>
      </c>
      <c r="K537" t="str">
        <f t="shared" si="53"/>
        <v>{ file:'2.16.840.1.113883.10.20.22.1.1.html', href:'https://hl7.org/cda/us/ccda/Binary-transfer-summary-header-example.html', text:'transfer-summary-header-example' },</v>
      </c>
    </row>
    <row r="538" spans="1:11" x14ac:dyDescent="0.25">
      <c r="A538" t="s">
        <v>1348</v>
      </c>
      <c r="B538" t="s">
        <v>343</v>
      </c>
      <c r="C538">
        <f t="shared" si="48"/>
        <v>13</v>
      </c>
      <c r="D538">
        <f t="shared" si="49"/>
        <v>52</v>
      </c>
      <c r="E538">
        <f t="shared" si="50"/>
        <v>52</v>
      </c>
      <c r="F538" t="s">
        <v>593</v>
      </c>
      <c r="G538">
        <f t="shared" si="51"/>
        <v>32</v>
      </c>
      <c r="H538" t="s">
        <v>820</v>
      </c>
      <c r="I538" t="str">
        <f t="shared" si="52"/>
        <v>https://hl7.org/cda/us/ccda/Binary-transfer-summary-header-example.html</v>
      </c>
      <c r="J538" t="s">
        <v>1570</v>
      </c>
      <c r="K538" t="str">
        <f t="shared" si="53"/>
        <v>{ file:'2.16.840.1.113883.10.20.22.1.13.html', href:'https://hl7.org/cda/us/ccda/Binary-transfer-summary-header-example.html', text:'transfer-summary-header-example' },</v>
      </c>
    </row>
    <row r="539" spans="1:11" x14ac:dyDescent="0.25">
      <c r="A539" t="s">
        <v>1348</v>
      </c>
      <c r="B539" t="s">
        <v>124</v>
      </c>
      <c r="C539">
        <f t="shared" si="48"/>
        <v>13</v>
      </c>
      <c r="D539" t="e">
        <f t="shared" si="49"/>
        <v>#VALUE!</v>
      </c>
      <c r="E539">
        <f t="shared" si="50"/>
        <v>100</v>
      </c>
      <c r="F539" t="s">
        <v>372</v>
      </c>
      <c r="G539">
        <f t="shared" si="51"/>
        <v>33</v>
      </c>
      <c r="H539" t="s">
        <v>620</v>
      </c>
      <c r="I539" t="str">
        <f t="shared" si="52"/>
        <v>https://hl7.org/cda/us/ccda/Binary-transfer-summary-header-example.html</v>
      </c>
      <c r="J539" t="s">
        <v>1570</v>
      </c>
      <c r="K539" t="str">
        <f t="shared" si="53"/>
        <v>{ file:'2.16.840.1.113883.10.20.22.4.119.html', href:'https://hl7.org/cda/us/ccda/Binary-transfer-summary-header-example.html', text:'transfer-summary-header-example' },</v>
      </c>
    </row>
    <row r="540" spans="1:11" x14ac:dyDescent="0.25">
      <c r="A540" t="s">
        <v>1348</v>
      </c>
      <c r="B540" t="s">
        <v>158</v>
      </c>
      <c r="C540">
        <f t="shared" si="48"/>
        <v>13</v>
      </c>
      <c r="D540">
        <f t="shared" si="49"/>
        <v>54</v>
      </c>
      <c r="E540">
        <f t="shared" si="50"/>
        <v>54</v>
      </c>
      <c r="F540" t="s">
        <v>415</v>
      </c>
      <c r="G540">
        <f t="shared" si="51"/>
        <v>34</v>
      </c>
      <c r="H540" t="s">
        <v>661</v>
      </c>
      <c r="I540" t="str">
        <f t="shared" si="52"/>
        <v>https://hl7.org/cda/us/ccda/Binary-transfer-summary-header-example.html</v>
      </c>
      <c r="J540" t="s">
        <v>1570</v>
      </c>
      <c r="K540" t="str">
        <f t="shared" si="53"/>
        <v>{ file:'2.16.840.1.113883.10.20.22.2.22.1.html', href:'https://hl7.org/cda/us/ccda/Binary-transfer-summary-header-example.html', text:'transfer-summary-header-example' },</v>
      </c>
    </row>
    <row r="541" spans="1:11" x14ac:dyDescent="0.25">
      <c r="A541" t="s">
        <v>1348</v>
      </c>
      <c r="B541" t="s">
        <v>20</v>
      </c>
      <c r="C541">
        <f t="shared" si="48"/>
        <v>13</v>
      </c>
      <c r="D541">
        <f t="shared" si="49"/>
        <v>52</v>
      </c>
      <c r="E541">
        <f t="shared" si="50"/>
        <v>52</v>
      </c>
      <c r="F541" t="s">
        <v>416</v>
      </c>
      <c r="G541">
        <f t="shared" si="51"/>
        <v>32</v>
      </c>
      <c r="H541" t="s">
        <v>662</v>
      </c>
      <c r="I541" t="str">
        <f t="shared" si="52"/>
        <v>https://hl7.org/cda/us/ccda/Binary-transfer-summary-header-example.html</v>
      </c>
      <c r="J541" t="s">
        <v>1570</v>
      </c>
      <c r="K541" t="str">
        <f t="shared" si="53"/>
        <v>{ file:'2.16.840.1.113883.10.20.22.2.17.html', href:'https://hl7.org/cda/us/ccda/Binary-transfer-summary-header-example.html', text:'transfer-summary-header-example' },</v>
      </c>
    </row>
    <row r="542" spans="1:11" x14ac:dyDescent="0.25">
      <c r="A542" t="s">
        <v>1348</v>
      </c>
      <c r="B542" t="s">
        <v>0</v>
      </c>
      <c r="C542">
        <f t="shared" si="48"/>
        <v>13</v>
      </c>
      <c r="D542">
        <f t="shared" si="49"/>
        <v>53</v>
      </c>
      <c r="E542">
        <f t="shared" si="50"/>
        <v>53</v>
      </c>
      <c r="F542" t="s">
        <v>376</v>
      </c>
      <c r="G542">
        <f t="shared" si="51"/>
        <v>33</v>
      </c>
      <c r="H542" t="s">
        <v>624</v>
      </c>
      <c r="I542" t="str">
        <f t="shared" si="52"/>
        <v>https://hl7.org/cda/us/ccda/Binary-transfer-summary-header-example.html</v>
      </c>
      <c r="J542" t="s">
        <v>1570</v>
      </c>
      <c r="K542" t="str">
        <f t="shared" si="53"/>
        <v>{ file:'2.16.840.1.113883.10.20.22.2.6.1.html', href:'https://hl7.org/cda/us/ccda/Binary-transfer-summary-header-example.html', text:'transfer-summary-header-example' },</v>
      </c>
    </row>
    <row r="543" spans="1:11" x14ac:dyDescent="0.25">
      <c r="A543" t="s">
        <v>1348</v>
      </c>
      <c r="B543" t="s">
        <v>6</v>
      </c>
      <c r="C543">
        <f t="shared" si="48"/>
        <v>13</v>
      </c>
      <c r="D543">
        <f t="shared" si="49"/>
        <v>53</v>
      </c>
      <c r="E543">
        <f t="shared" si="50"/>
        <v>53</v>
      </c>
      <c r="F543" t="s">
        <v>417</v>
      </c>
      <c r="G543">
        <f t="shared" si="51"/>
        <v>33</v>
      </c>
      <c r="H543" t="s">
        <v>663</v>
      </c>
      <c r="I543" t="str">
        <f t="shared" si="52"/>
        <v>https://hl7.org/cda/us/ccda/Binary-transfer-summary-header-example.html</v>
      </c>
      <c r="J543" t="s">
        <v>1570</v>
      </c>
      <c r="K543" t="str">
        <f t="shared" si="53"/>
        <v>{ file:'2.16.840.1.113883.10.20.22.2.5.1.html', href:'https://hl7.org/cda/us/ccda/Binary-transfer-summary-header-example.html', text:'transfer-summary-header-example' },</v>
      </c>
    </row>
    <row r="544" spans="1:11" x14ac:dyDescent="0.25">
      <c r="A544" t="s">
        <v>1348</v>
      </c>
      <c r="B544" t="s">
        <v>7</v>
      </c>
      <c r="C544">
        <f t="shared" si="48"/>
        <v>13</v>
      </c>
      <c r="D544">
        <f t="shared" si="49"/>
        <v>53</v>
      </c>
      <c r="E544">
        <f t="shared" si="50"/>
        <v>53</v>
      </c>
      <c r="F544" t="s">
        <v>418</v>
      </c>
      <c r="G544">
        <f t="shared" si="51"/>
        <v>33</v>
      </c>
      <c r="H544" t="s">
        <v>664</v>
      </c>
      <c r="I544" t="str">
        <f t="shared" si="52"/>
        <v>https://hl7.org/cda/us/ccda/Binary-transfer-summary-header-example.html</v>
      </c>
      <c r="J544" t="s">
        <v>1570</v>
      </c>
      <c r="K544" t="str">
        <f t="shared" si="53"/>
        <v>{ file:'2.16.840.1.113883.10.20.22.2.1.1.html', href:'https://hl7.org/cda/us/ccda/Binary-transfer-summary-header-example.html', text:'transfer-summary-header-example' },</v>
      </c>
    </row>
    <row r="545" spans="1:11" x14ac:dyDescent="0.25">
      <c r="A545" t="s">
        <v>1348</v>
      </c>
      <c r="B545" t="s">
        <v>9</v>
      </c>
      <c r="C545">
        <f t="shared" si="48"/>
        <v>13</v>
      </c>
      <c r="D545">
        <f t="shared" si="49"/>
        <v>53</v>
      </c>
      <c r="E545">
        <f t="shared" si="50"/>
        <v>53</v>
      </c>
      <c r="F545" t="s">
        <v>419</v>
      </c>
      <c r="G545">
        <f t="shared" si="51"/>
        <v>33</v>
      </c>
      <c r="H545" t="s">
        <v>665</v>
      </c>
      <c r="I545" t="str">
        <f t="shared" si="52"/>
        <v>https://hl7.org/cda/us/ccda/Binary-transfer-summary-header-example.html</v>
      </c>
      <c r="J545" t="s">
        <v>1570</v>
      </c>
      <c r="K545" t="str">
        <f t="shared" si="53"/>
        <v>{ file:'2.16.840.1.113883.10.20.22.2.3.1.html', href:'https://hl7.org/cda/us/ccda/Binary-transfer-summary-header-example.html', text:'transfer-summary-header-example' },</v>
      </c>
    </row>
    <row r="546" spans="1:11" x14ac:dyDescent="0.25">
      <c r="A546" t="s">
        <v>1348</v>
      </c>
      <c r="B546" t="s">
        <v>19</v>
      </c>
      <c r="C546">
        <f t="shared" si="48"/>
        <v>13</v>
      </c>
      <c r="D546">
        <f t="shared" si="49"/>
        <v>53</v>
      </c>
      <c r="E546">
        <f t="shared" si="50"/>
        <v>53</v>
      </c>
      <c r="F546" t="s">
        <v>420</v>
      </c>
      <c r="G546">
        <f t="shared" si="51"/>
        <v>33</v>
      </c>
      <c r="H546" t="s">
        <v>666</v>
      </c>
      <c r="I546" t="str">
        <f t="shared" si="52"/>
        <v>https://hl7.org/cda/us/ccda/Binary-transfer-summary-header-example.html</v>
      </c>
      <c r="J546" t="s">
        <v>1570</v>
      </c>
      <c r="K546" t="str">
        <f t="shared" si="53"/>
        <v>{ file:'2.16.840.1.113883.10.20.22.2.4.1.html', href:'https://hl7.org/cda/us/ccda/Binary-transfer-summary-header-example.html', text:'transfer-summary-header-example' },</v>
      </c>
    </row>
    <row r="547" spans="1:11" x14ac:dyDescent="0.25">
      <c r="A547" t="s">
        <v>1348</v>
      </c>
      <c r="B547" t="s">
        <v>104</v>
      </c>
      <c r="C547">
        <f t="shared" si="48"/>
        <v>18</v>
      </c>
      <c r="D547">
        <f t="shared" si="49"/>
        <v>56</v>
      </c>
      <c r="E547">
        <f t="shared" si="50"/>
        <v>56</v>
      </c>
      <c r="F547" t="s">
        <v>387</v>
      </c>
      <c r="G547">
        <f t="shared" si="51"/>
        <v>31</v>
      </c>
      <c r="H547" t="s">
        <v>633</v>
      </c>
      <c r="I547" t="str">
        <f t="shared" si="52"/>
        <v>https://hl7.org/cda/us/ccda/Binary-transfer-summary-header-example.html</v>
      </c>
      <c r="J547" t="s">
        <v>1570</v>
      </c>
      <c r="K547" t="str">
        <f t="shared" si="53"/>
        <v>{ file:'2.16.840.1.113883.10.20.22.2.9.html', href:'https://hl7.org/cda/us/ccda/Binary-transfer-summary-header-example.html', text:'transfer-summary-header-example' },</v>
      </c>
    </row>
    <row r="548" spans="1:11" x14ac:dyDescent="0.25">
      <c r="A548" t="s">
        <v>1348</v>
      </c>
      <c r="B548" t="s">
        <v>109</v>
      </c>
      <c r="C548">
        <f t="shared" si="48"/>
        <v>18</v>
      </c>
      <c r="D548">
        <f t="shared" si="49"/>
        <v>55</v>
      </c>
      <c r="E548">
        <f t="shared" si="50"/>
        <v>55</v>
      </c>
      <c r="F548" t="s">
        <v>572</v>
      </c>
      <c r="G548">
        <f t="shared" si="51"/>
        <v>30</v>
      </c>
      <c r="H548" t="s">
        <v>803</v>
      </c>
      <c r="I548" t="str">
        <f t="shared" si="52"/>
        <v>https://hl7.org/cda/us/ccda/Binary-transfer-summary-header-example.html</v>
      </c>
      <c r="J548" t="s">
        <v>1570</v>
      </c>
      <c r="K548" t="str">
        <f t="shared" si="53"/>
        <v>{ file:'1.3.6.1.4.1.19376.1.5.3.1.3.1.html', href:'https://hl7.org/cda/us/ccda/Binary-transfer-summary-header-example.html', text:'transfer-summary-header-example' },</v>
      </c>
    </row>
    <row r="549" spans="1:11" x14ac:dyDescent="0.25">
      <c r="A549" t="s">
        <v>1349</v>
      </c>
      <c r="B549" t="s">
        <v>344</v>
      </c>
      <c r="C549">
        <f t="shared" si="48"/>
        <v>13</v>
      </c>
      <c r="D549">
        <f t="shared" si="49"/>
        <v>52</v>
      </c>
      <c r="E549">
        <f t="shared" si="50"/>
        <v>52</v>
      </c>
      <c r="F549" t="s">
        <v>395</v>
      </c>
      <c r="G549">
        <f t="shared" si="51"/>
        <v>32</v>
      </c>
      <c r="H549" t="s">
        <v>641</v>
      </c>
      <c r="I549" t="str">
        <f t="shared" si="52"/>
        <v>https://hl7.org/cda/us/ccda/Binary-tribal-affiliation-example.html</v>
      </c>
      <c r="J549" t="s">
        <v>1571</v>
      </c>
      <c r="K549" t="str">
        <f t="shared" si="53"/>
        <v>{ file:'2.16.840.1.113883.10.20.22.4.38.html', href:'https://hl7.org/cda/us/ccda/Binary-tribal-affiliation-example.html', text:'tribal-affiliation-example' },</v>
      </c>
    </row>
    <row r="550" spans="1:11" x14ac:dyDescent="0.25">
      <c r="A550" t="s">
        <v>1349</v>
      </c>
      <c r="B550" t="s">
        <v>345</v>
      </c>
      <c r="C550">
        <f t="shared" si="48"/>
        <v>13</v>
      </c>
      <c r="D550">
        <f t="shared" si="49"/>
        <v>53</v>
      </c>
      <c r="E550">
        <f t="shared" si="50"/>
        <v>53</v>
      </c>
      <c r="F550" t="s">
        <v>594</v>
      </c>
      <c r="G550">
        <f t="shared" si="51"/>
        <v>33</v>
      </c>
      <c r="H550" t="s">
        <v>821</v>
      </c>
      <c r="I550" t="str">
        <f t="shared" si="52"/>
        <v>https://hl7.org/cda/us/ccda/Binary-tribal-affiliation-example.html</v>
      </c>
      <c r="J550" t="s">
        <v>1571</v>
      </c>
      <c r="K550" t="str">
        <f t="shared" si="53"/>
        <v>{ file:'2.16.840.1.113883.10.20.22.4.506.html', href:'https://hl7.org/cda/us/ccda/Binary-tribal-affiliation-example.html', text:'tribal-affiliation-example' },</v>
      </c>
    </row>
    <row r="551" spans="1:11" x14ac:dyDescent="0.25">
      <c r="A551" t="s">
        <v>1349</v>
      </c>
      <c r="B551" t="s">
        <v>124</v>
      </c>
      <c r="C551">
        <f t="shared" si="48"/>
        <v>13</v>
      </c>
      <c r="D551" t="e">
        <f t="shared" si="49"/>
        <v>#VALUE!</v>
      </c>
      <c r="E551">
        <f t="shared" si="50"/>
        <v>100</v>
      </c>
      <c r="F551" t="s">
        <v>372</v>
      </c>
      <c r="G551">
        <f t="shared" si="51"/>
        <v>33</v>
      </c>
      <c r="H551" t="s">
        <v>620</v>
      </c>
      <c r="I551" t="str">
        <f t="shared" si="52"/>
        <v>https://hl7.org/cda/us/ccda/Binary-tribal-affiliation-example.html</v>
      </c>
      <c r="J551" t="s">
        <v>1571</v>
      </c>
      <c r="K551" t="str">
        <f t="shared" si="53"/>
        <v>{ file:'2.16.840.1.113883.10.20.22.4.119.html', href:'https://hl7.org/cda/us/ccda/Binary-tribal-affiliation-example.html', text:'tribal-affiliation-example' },</v>
      </c>
    </row>
    <row r="552" spans="1:11" x14ac:dyDescent="0.25">
      <c r="A552" t="s">
        <v>1350</v>
      </c>
      <c r="B552" t="s">
        <v>346</v>
      </c>
      <c r="C552">
        <f t="shared" si="48"/>
        <v>13</v>
      </c>
      <c r="D552" t="e">
        <f t="shared" si="49"/>
        <v>#VALUE!</v>
      </c>
      <c r="E552">
        <f t="shared" si="50"/>
        <v>100</v>
      </c>
      <c r="F552" t="s">
        <v>595</v>
      </c>
      <c r="G552">
        <f t="shared" si="51"/>
        <v>33</v>
      </c>
      <c r="H552" t="s">
        <v>822</v>
      </c>
      <c r="I552" t="str">
        <f t="shared" si="52"/>
        <v>https://hl7.org/cda/us/ccda/Binary-udi-organizer-example.html</v>
      </c>
      <c r="J552" t="s">
        <v>1572</v>
      </c>
      <c r="K552" t="str">
        <f t="shared" si="53"/>
        <v>{ file:'2.16.840.1.113883.10.20.22.4.311.html', href:'https://hl7.org/cda/us/ccda/Binary-udi-organizer-example.html', text:'udi-organizer-example' },</v>
      </c>
    </row>
    <row r="553" spans="1:11" x14ac:dyDescent="0.25">
      <c r="A553" t="s">
        <v>1350</v>
      </c>
      <c r="B553" t="s">
        <v>347</v>
      </c>
      <c r="C553">
        <f t="shared" si="48"/>
        <v>13</v>
      </c>
      <c r="D553" t="e">
        <f t="shared" si="49"/>
        <v>#VALUE!</v>
      </c>
      <c r="E553">
        <f t="shared" si="50"/>
        <v>100</v>
      </c>
      <c r="F553" t="s">
        <v>596</v>
      </c>
      <c r="G553">
        <f t="shared" si="51"/>
        <v>33</v>
      </c>
      <c r="H553" t="s">
        <v>686</v>
      </c>
      <c r="I553" t="str">
        <f t="shared" si="52"/>
        <v>https://hl7.org/cda/us/ccda/Binary-udi-organizer-example.html</v>
      </c>
      <c r="J553" t="s">
        <v>1572</v>
      </c>
      <c r="K553" t="str">
        <f t="shared" si="53"/>
        <v>{ file:'2.16.840.1.113883.10.20.22.4.304.html', href:'https://hl7.org/cda/us/ccda/Binary-udi-organizer-example.html', text:'udi-organizer-example' },</v>
      </c>
    </row>
    <row r="554" spans="1:11" x14ac:dyDescent="0.25">
      <c r="A554" t="s">
        <v>1350</v>
      </c>
      <c r="B554" t="s">
        <v>348</v>
      </c>
      <c r="C554">
        <f t="shared" si="48"/>
        <v>13</v>
      </c>
      <c r="D554" t="e">
        <f t="shared" si="49"/>
        <v>#VALUE!</v>
      </c>
      <c r="E554">
        <f t="shared" si="50"/>
        <v>100</v>
      </c>
      <c r="F554" t="s">
        <v>597</v>
      </c>
      <c r="G554">
        <f t="shared" si="51"/>
        <v>33</v>
      </c>
      <c r="H554" t="s">
        <v>741</v>
      </c>
      <c r="I554" t="str">
        <f t="shared" si="52"/>
        <v>https://hl7.org/cda/us/ccda/Binary-udi-organizer-example.html</v>
      </c>
      <c r="J554" t="s">
        <v>1572</v>
      </c>
      <c r="K554" t="str">
        <f t="shared" si="53"/>
        <v>{ file:'2.16.840.1.113883.10.20.22.4.315.html', href:'https://hl7.org/cda/us/ccda/Binary-udi-organizer-example.html', text:'udi-organizer-example' },</v>
      </c>
    </row>
    <row r="555" spans="1:11" x14ac:dyDescent="0.25">
      <c r="A555" t="s">
        <v>1350</v>
      </c>
      <c r="B555" t="s">
        <v>349</v>
      </c>
      <c r="C555">
        <f t="shared" si="48"/>
        <v>13</v>
      </c>
      <c r="D555" t="e">
        <f t="shared" si="49"/>
        <v>#VALUE!</v>
      </c>
      <c r="E555">
        <f t="shared" si="50"/>
        <v>100</v>
      </c>
      <c r="F555" t="s">
        <v>598</v>
      </c>
      <c r="G555">
        <f t="shared" si="51"/>
        <v>33</v>
      </c>
      <c r="H555" t="s">
        <v>812</v>
      </c>
      <c r="I555" t="str">
        <f t="shared" si="52"/>
        <v>https://hl7.org/cda/us/ccda/Binary-udi-organizer-example.html</v>
      </c>
      <c r="J555" t="s">
        <v>1572</v>
      </c>
      <c r="K555" t="str">
        <f t="shared" si="53"/>
        <v>{ file:'2.16.840.1.113883.10.20.22.4.319.html', href:'https://hl7.org/cda/us/ccda/Binary-udi-organizer-example.html', text:'udi-organizer-example' },</v>
      </c>
    </row>
    <row r="556" spans="1:11" x14ac:dyDescent="0.25">
      <c r="A556" t="s">
        <v>1350</v>
      </c>
      <c r="B556" t="s">
        <v>350</v>
      </c>
      <c r="C556">
        <f t="shared" si="48"/>
        <v>13</v>
      </c>
      <c r="D556" t="e">
        <f t="shared" si="49"/>
        <v>#VALUE!</v>
      </c>
      <c r="E556">
        <f t="shared" si="50"/>
        <v>100</v>
      </c>
      <c r="F556" t="s">
        <v>599</v>
      </c>
      <c r="G556">
        <f t="shared" si="51"/>
        <v>33</v>
      </c>
      <c r="H556" t="s">
        <v>742</v>
      </c>
      <c r="I556" t="str">
        <f t="shared" si="52"/>
        <v>https://hl7.org/cda/us/ccda/Binary-udi-organizer-example.html</v>
      </c>
      <c r="J556" t="s">
        <v>1572</v>
      </c>
      <c r="K556" t="str">
        <f t="shared" si="53"/>
        <v>{ file:'2.16.840.1.113883.10.20.22.4.316.html', href:'https://hl7.org/cda/us/ccda/Binary-udi-organizer-example.html', text:'udi-organizer-example' },</v>
      </c>
    </row>
    <row r="557" spans="1:11" x14ac:dyDescent="0.25">
      <c r="A557" t="s">
        <v>1350</v>
      </c>
      <c r="B557" t="s">
        <v>351</v>
      </c>
      <c r="C557">
        <f t="shared" si="48"/>
        <v>13</v>
      </c>
      <c r="D557" t="e">
        <f t="shared" si="49"/>
        <v>#VALUE!</v>
      </c>
      <c r="E557">
        <f t="shared" si="50"/>
        <v>100</v>
      </c>
      <c r="F557" t="s">
        <v>600</v>
      </c>
      <c r="G557">
        <f t="shared" si="51"/>
        <v>33</v>
      </c>
      <c r="H557" t="s">
        <v>823</v>
      </c>
      <c r="I557" t="str">
        <f t="shared" si="52"/>
        <v>https://hl7.org/cda/us/ccda/Binary-udi-organizer-example.html</v>
      </c>
      <c r="J557" t="s">
        <v>1572</v>
      </c>
      <c r="K557" t="str">
        <f t="shared" si="53"/>
        <v>{ file:'2.16.840.1.113883.10.20.22.4.309.html', href:'https://hl7.org/cda/us/ccda/Binary-udi-organizer-example.html', text:'udi-organizer-example' },</v>
      </c>
    </row>
    <row r="558" spans="1:11" x14ac:dyDescent="0.25">
      <c r="A558" t="s">
        <v>1350</v>
      </c>
      <c r="B558" t="s">
        <v>352</v>
      </c>
      <c r="C558">
        <f t="shared" si="48"/>
        <v>13</v>
      </c>
      <c r="D558" t="e">
        <f t="shared" si="49"/>
        <v>#VALUE!</v>
      </c>
      <c r="E558">
        <f t="shared" si="50"/>
        <v>100</v>
      </c>
      <c r="F558" t="s">
        <v>601</v>
      </c>
      <c r="G558">
        <f t="shared" si="51"/>
        <v>33</v>
      </c>
      <c r="H558" t="s">
        <v>698</v>
      </c>
      <c r="I558" t="str">
        <f t="shared" si="52"/>
        <v>https://hl7.org/cda/us/ccda/Binary-udi-organizer-example.html</v>
      </c>
      <c r="J558" t="s">
        <v>1572</v>
      </c>
      <c r="K558" t="str">
        <f t="shared" si="53"/>
        <v>{ file:'2.16.840.1.113883.10.20.22.4.308.html', href:'https://hl7.org/cda/us/ccda/Binary-udi-organizer-example.html', text:'udi-organizer-example' },</v>
      </c>
    </row>
    <row r="559" spans="1:11" x14ac:dyDescent="0.25">
      <c r="A559" t="s">
        <v>1350</v>
      </c>
      <c r="B559" t="s">
        <v>353</v>
      </c>
      <c r="C559">
        <f t="shared" si="48"/>
        <v>13</v>
      </c>
      <c r="D559" t="e">
        <f t="shared" si="49"/>
        <v>#VALUE!</v>
      </c>
      <c r="E559">
        <f t="shared" si="50"/>
        <v>100</v>
      </c>
      <c r="F559" t="s">
        <v>602</v>
      </c>
      <c r="G559">
        <f t="shared" si="51"/>
        <v>33</v>
      </c>
      <c r="H559" t="s">
        <v>645</v>
      </c>
      <c r="I559" t="str">
        <f t="shared" si="52"/>
        <v>https://hl7.org/cda/us/ccda/Binary-udi-organizer-example.html</v>
      </c>
      <c r="J559" t="s">
        <v>1572</v>
      </c>
      <c r="K559" t="str">
        <f t="shared" si="53"/>
        <v>{ file:'2.16.840.1.113883.10.20.22.4.301.html', href:'https://hl7.org/cda/us/ccda/Binary-udi-organizer-example.html', text:'udi-organizer-example' },</v>
      </c>
    </row>
    <row r="560" spans="1:11" x14ac:dyDescent="0.25">
      <c r="A560" t="s">
        <v>1350</v>
      </c>
      <c r="B560" t="s">
        <v>354</v>
      </c>
      <c r="C560">
        <f t="shared" si="48"/>
        <v>13</v>
      </c>
      <c r="D560" t="e">
        <f t="shared" si="49"/>
        <v>#VALUE!</v>
      </c>
      <c r="E560">
        <f t="shared" si="50"/>
        <v>100</v>
      </c>
      <c r="F560" t="s">
        <v>603</v>
      </c>
      <c r="G560">
        <f t="shared" si="51"/>
        <v>33</v>
      </c>
      <c r="H560" t="s">
        <v>755</v>
      </c>
      <c r="I560" t="str">
        <f t="shared" si="52"/>
        <v>https://hl7.org/cda/us/ccda/Binary-udi-organizer-example.html</v>
      </c>
      <c r="J560" t="s">
        <v>1572</v>
      </c>
      <c r="K560" t="str">
        <f t="shared" si="53"/>
        <v>{ file:'2.16.840.1.113883.10.20.22.4.317.html', href:'https://hl7.org/cda/us/ccda/Binary-udi-organizer-example.html', text:'udi-organizer-example' },</v>
      </c>
    </row>
    <row r="561" spans="1:11" x14ac:dyDescent="0.25">
      <c r="A561" t="s">
        <v>1350</v>
      </c>
      <c r="B561" t="s">
        <v>355</v>
      </c>
      <c r="C561">
        <f t="shared" si="48"/>
        <v>13</v>
      </c>
      <c r="D561" t="e">
        <f t="shared" si="49"/>
        <v>#VALUE!</v>
      </c>
      <c r="E561">
        <f t="shared" si="50"/>
        <v>100</v>
      </c>
      <c r="F561" t="s">
        <v>604</v>
      </c>
      <c r="G561">
        <f t="shared" si="51"/>
        <v>33</v>
      </c>
      <c r="H561" t="s">
        <v>658</v>
      </c>
      <c r="I561" t="str">
        <f t="shared" si="52"/>
        <v>https://hl7.org/cda/us/ccda/Binary-udi-organizer-example.html</v>
      </c>
      <c r="J561" t="s">
        <v>1572</v>
      </c>
      <c r="K561" t="str">
        <f t="shared" si="53"/>
        <v>{ file:'2.16.840.1.113883.10.20.22.4.302.html', href:'https://hl7.org/cda/us/ccda/Binary-udi-organizer-example.html', text:'udi-organizer-example' },</v>
      </c>
    </row>
    <row r="562" spans="1:11" x14ac:dyDescent="0.25">
      <c r="A562" t="s">
        <v>1350</v>
      </c>
      <c r="B562" t="s">
        <v>356</v>
      </c>
      <c r="C562">
        <f t="shared" si="48"/>
        <v>13</v>
      </c>
      <c r="D562" t="e">
        <f t="shared" si="49"/>
        <v>#VALUE!</v>
      </c>
      <c r="E562">
        <f t="shared" si="50"/>
        <v>100</v>
      </c>
      <c r="F562" t="s">
        <v>605</v>
      </c>
      <c r="G562">
        <f t="shared" si="51"/>
        <v>33</v>
      </c>
      <c r="H562" t="s">
        <v>672</v>
      </c>
      <c r="I562" t="str">
        <f t="shared" si="52"/>
        <v>https://hl7.org/cda/us/ccda/Binary-udi-organizer-example.html</v>
      </c>
      <c r="J562" t="s">
        <v>1572</v>
      </c>
      <c r="K562" t="str">
        <f t="shared" si="53"/>
        <v>{ file:'2.16.840.1.113883.10.20.22.4.303.html', href:'https://hl7.org/cda/us/ccda/Binary-udi-organizer-example.html', text:'udi-organizer-example' },</v>
      </c>
    </row>
    <row r="563" spans="1:11" x14ac:dyDescent="0.25">
      <c r="A563" t="s">
        <v>1350</v>
      </c>
      <c r="B563" t="s">
        <v>357</v>
      </c>
      <c r="C563">
        <f t="shared" si="48"/>
        <v>13</v>
      </c>
      <c r="D563" t="e">
        <f t="shared" si="49"/>
        <v>#VALUE!</v>
      </c>
      <c r="E563">
        <f t="shared" si="50"/>
        <v>100</v>
      </c>
      <c r="F563" t="s">
        <v>606</v>
      </c>
      <c r="G563">
        <f t="shared" si="51"/>
        <v>33</v>
      </c>
      <c r="H563" t="s">
        <v>756</v>
      </c>
      <c r="I563" t="str">
        <f t="shared" si="52"/>
        <v>https://hl7.org/cda/us/ccda/Binary-udi-organizer-example.html</v>
      </c>
      <c r="J563" t="s">
        <v>1572</v>
      </c>
      <c r="K563" t="str">
        <f t="shared" si="53"/>
        <v>{ file:'2.16.840.1.113883.10.20.22.4.318.html', href:'https://hl7.org/cda/us/ccda/Binary-udi-organizer-example.html', text:'udi-organizer-example' },</v>
      </c>
    </row>
    <row r="564" spans="1:11" x14ac:dyDescent="0.25">
      <c r="A564" t="s">
        <v>1350</v>
      </c>
      <c r="B564" t="s">
        <v>230</v>
      </c>
      <c r="C564">
        <f t="shared" si="48"/>
        <v>13</v>
      </c>
      <c r="D564" t="e">
        <f t="shared" si="49"/>
        <v>#VALUE!</v>
      </c>
      <c r="E564">
        <f t="shared" si="50"/>
        <v>100</v>
      </c>
      <c r="F564" t="s">
        <v>498</v>
      </c>
      <c r="G564">
        <f t="shared" si="51"/>
        <v>33</v>
      </c>
      <c r="H564" t="s">
        <v>739</v>
      </c>
      <c r="I564" t="str">
        <f t="shared" si="52"/>
        <v>https://hl7.org/cda/us/ccda/Binary-udi-organizer-example.html</v>
      </c>
      <c r="J564" t="s">
        <v>1572</v>
      </c>
      <c r="K564" t="str">
        <f t="shared" si="53"/>
        <v>{ file:'2.16.840.1.113883.10.20.22.4.314.html', href:'https://hl7.org/cda/us/ccda/Binary-udi-organizer-example.html', text:'udi-organizer-example' },</v>
      </c>
    </row>
    <row r="565" spans="1:11" x14ac:dyDescent="0.25">
      <c r="A565" t="s">
        <v>1350</v>
      </c>
      <c r="B565" t="s">
        <v>358</v>
      </c>
      <c r="C565">
        <f t="shared" si="48"/>
        <v>13</v>
      </c>
      <c r="D565" t="e">
        <f t="shared" si="49"/>
        <v>#VALUE!</v>
      </c>
      <c r="E565">
        <f t="shared" si="50"/>
        <v>100</v>
      </c>
      <c r="F565" t="s">
        <v>607</v>
      </c>
      <c r="G565">
        <f t="shared" si="51"/>
        <v>33</v>
      </c>
      <c r="H565" t="s">
        <v>734</v>
      </c>
      <c r="I565" t="str">
        <f t="shared" si="52"/>
        <v>https://hl7.org/cda/us/ccda/Binary-udi-organizer-example.html</v>
      </c>
      <c r="J565" t="s">
        <v>1572</v>
      </c>
      <c r="K565" t="str">
        <f t="shared" si="53"/>
        <v>{ file:'2.16.840.1.113883.10.20.22.4.305.html', href:'https://hl7.org/cda/us/ccda/Binary-udi-organizer-example.html', text:'udi-organizer-example' },</v>
      </c>
    </row>
    <row r="566" spans="1:11" x14ac:dyDescent="0.25">
      <c r="A566" t="s">
        <v>1351</v>
      </c>
      <c r="B566" t="s">
        <v>144</v>
      </c>
      <c r="C566">
        <f t="shared" si="48"/>
        <v>13</v>
      </c>
      <c r="D566">
        <f t="shared" si="49"/>
        <v>52</v>
      </c>
      <c r="E566">
        <f t="shared" si="50"/>
        <v>52</v>
      </c>
      <c r="F566" t="s">
        <v>394</v>
      </c>
      <c r="G566">
        <f t="shared" si="51"/>
        <v>32</v>
      </c>
      <c r="H566" t="s">
        <v>640</v>
      </c>
      <c r="I566" t="str">
        <f t="shared" si="52"/>
        <v>https://hl7.org/cda/us/ccda/Binary-vital-sign-observation-example.html</v>
      </c>
      <c r="J566" t="s">
        <v>1573</v>
      </c>
      <c r="K566" t="str">
        <f t="shared" si="53"/>
        <v>{ file:'2.16.840.1.113883.10.20.22.4.27.html', href:'https://hl7.org/cda/us/ccda/Binary-vital-sign-observation-example.html', text:'vital-sign-observation-example' },</v>
      </c>
    </row>
    <row r="567" spans="1:11" x14ac:dyDescent="0.25">
      <c r="A567" t="s">
        <v>1351</v>
      </c>
      <c r="B567" t="s">
        <v>124</v>
      </c>
      <c r="C567">
        <f t="shared" si="48"/>
        <v>13</v>
      </c>
      <c r="D567" t="e">
        <f t="shared" si="49"/>
        <v>#VALUE!</v>
      </c>
      <c r="E567">
        <f t="shared" si="50"/>
        <v>100</v>
      </c>
      <c r="F567" t="s">
        <v>372</v>
      </c>
      <c r="G567">
        <f t="shared" si="51"/>
        <v>33</v>
      </c>
      <c r="H567" t="s">
        <v>620</v>
      </c>
      <c r="I567" t="str">
        <f t="shared" si="52"/>
        <v>https://hl7.org/cda/us/ccda/Binary-vital-sign-observation-example.html</v>
      </c>
      <c r="J567" t="s">
        <v>1573</v>
      </c>
      <c r="K567" t="str">
        <f t="shared" si="53"/>
        <v>{ file:'2.16.840.1.113883.10.20.22.4.119.html', href:'https://hl7.org/cda/us/ccda/Binary-vital-sign-observation-example.html', text:'vital-sign-observation-example' },</v>
      </c>
    </row>
    <row r="568" spans="1:11" x14ac:dyDescent="0.25">
      <c r="A568" t="s">
        <v>1352</v>
      </c>
      <c r="B568" t="s">
        <v>359</v>
      </c>
      <c r="C568">
        <f t="shared" si="48"/>
        <v>13</v>
      </c>
      <c r="D568">
        <f t="shared" si="49"/>
        <v>52</v>
      </c>
      <c r="E568">
        <f t="shared" si="50"/>
        <v>52</v>
      </c>
      <c r="F568" t="s">
        <v>608</v>
      </c>
      <c r="G568">
        <f t="shared" si="51"/>
        <v>32</v>
      </c>
      <c r="H568" t="s">
        <v>824</v>
      </c>
      <c r="I568" t="str">
        <f t="shared" si="52"/>
        <v>https://hl7.org/cda/us/ccda/Binary-vital-signs-organizer-example.html</v>
      </c>
      <c r="J568" t="s">
        <v>1574</v>
      </c>
      <c r="K568" t="str">
        <f t="shared" si="53"/>
        <v>{ file:'2.16.840.1.113883.10.20.22.4.26.html', href:'https://hl7.org/cda/us/ccda/Binary-vital-signs-organizer-example.html', text:'vital-signs-organizer-example' },</v>
      </c>
    </row>
    <row r="569" spans="1:11" x14ac:dyDescent="0.25">
      <c r="A569" t="s">
        <v>1352</v>
      </c>
      <c r="B569" t="s">
        <v>144</v>
      </c>
      <c r="C569">
        <f t="shared" si="48"/>
        <v>13</v>
      </c>
      <c r="D569">
        <f t="shared" si="49"/>
        <v>52</v>
      </c>
      <c r="E569">
        <f t="shared" si="50"/>
        <v>52</v>
      </c>
      <c r="F569" t="s">
        <v>394</v>
      </c>
      <c r="G569">
        <f t="shared" si="51"/>
        <v>32</v>
      </c>
      <c r="H569" t="s">
        <v>640</v>
      </c>
      <c r="I569" t="str">
        <f t="shared" si="52"/>
        <v>https://hl7.org/cda/us/ccda/Binary-vital-signs-organizer-example.html</v>
      </c>
      <c r="J569" t="s">
        <v>1574</v>
      </c>
      <c r="K569" t="str">
        <f t="shared" si="53"/>
        <v>{ file:'2.16.840.1.113883.10.20.22.4.27.html', href:'https://hl7.org/cda/us/ccda/Binary-vital-signs-organizer-example.html', text:'vital-signs-organizer-example' },</v>
      </c>
    </row>
    <row r="570" spans="1:11" x14ac:dyDescent="0.25">
      <c r="A570" t="s">
        <v>1352</v>
      </c>
      <c r="B570" t="s">
        <v>124</v>
      </c>
      <c r="C570">
        <f t="shared" si="48"/>
        <v>13</v>
      </c>
      <c r="D570" t="e">
        <f t="shared" si="49"/>
        <v>#VALUE!</v>
      </c>
      <c r="E570">
        <f t="shared" si="50"/>
        <v>100</v>
      </c>
      <c r="F570" t="s">
        <v>372</v>
      </c>
      <c r="G570">
        <f t="shared" si="51"/>
        <v>33</v>
      </c>
      <c r="H570" t="s">
        <v>620</v>
      </c>
      <c r="I570" t="str">
        <f t="shared" si="52"/>
        <v>https://hl7.org/cda/us/ccda/Binary-vital-signs-organizer-example.html</v>
      </c>
      <c r="J570" t="s">
        <v>1574</v>
      </c>
      <c r="K570" t="str">
        <f t="shared" si="53"/>
        <v>{ file:'2.16.840.1.113883.10.20.22.4.119.html', href:'https://hl7.org/cda/us/ccda/Binary-vital-signs-organizer-example.html', text:'vital-signs-organizer-example' },</v>
      </c>
    </row>
    <row r="571" spans="1:11" x14ac:dyDescent="0.25">
      <c r="A571" t="s">
        <v>1353</v>
      </c>
      <c r="B571" t="s">
        <v>360</v>
      </c>
      <c r="C571">
        <f t="shared" si="48"/>
        <v>13</v>
      </c>
      <c r="D571">
        <f t="shared" si="49"/>
        <v>53</v>
      </c>
      <c r="E571">
        <f t="shared" si="50"/>
        <v>53</v>
      </c>
      <c r="F571" t="s">
        <v>420</v>
      </c>
      <c r="G571">
        <f t="shared" si="51"/>
        <v>33</v>
      </c>
      <c r="H571" t="s">
        <v>666</v>
      </c>
      <c r="I571" t="str">
        <f t="shared" si="52"/>
        <v>https://hl7.org/cda/us/ccda/Binary-vital-signs-section-example.html</v>
      </c>
      <c r="J571" t="s">
        <v>1575</v>
      </c>
      <c r="K571" t="str">
        <f t="shared" si="53"/>
        <v>{ file:'2.16.840.1.113883.10.20.22.2.4.1.html', href:'https://hl7.org/cda/us/ccda/Binary-vital-signs-section-example.html', text:'vital-signs-section-example' },</v>
      </c>
    </row>
    <row r="572" spans="1:11" x14ac:dyDescent="0.25">
      <c r="A572" t="s">
        <v>1353</v>
      </c>
      <c r="B572" t="s">
        <v>143</v>
      </c>
      <c r="C572">
        <f t="shared" si="48"/>
        <v>13</v>
      </c>
      <c r="D572">
        <f t="shared" si="49"/>
        <v>53</v>
      </c>
      <c r="E572">
        <f t="shared" si="50"/>
        <v>53</v>
      </c>
      <c r="F572" t="s">
        <v>393</v>
      </c>
      <c r="G572">
        <f t="shared" si="51"/>
        <v>33</v>
      </c>
      <c r="H572" t="s">
        <v>639</v>
      </c>
      <c r="I572" t="str">
        <f t="shared" si="52"/>
        <v>https://hl7.org/cda/us/ccda/Binary-vital-signs-section-example.html</v>
      </c>
      <c r="J572" t="s">
        <v>1575</v>
      </c>
      <c r="K572" t="str">
        <f t="shared" si="53"/>
        <v>{ file:'2.16.840.1.113883.10.20.22.4.512.html', href:'https://hl7.org/cda/us/ccda/Binary-vital-signs-section-example.html', text:'vital-signs-section-example' },</v>
      </c>
    </row>
    <row r="573" spans="1:11" x14ac:dyDescent="0.25">
      <c r="A573" t="s">
        <v>1353</v>
      </c>
      <c r="B573" t="s">
        <v>144</v>
      </c>
      <c r="C573">
        <f t="shared" si="48"/>
        <v>13</v>
      </c>
      <c r="D573">
        <f t="shared" si="49"/>
        <v>52</v>
      </c>
      <c r="E573">
        <f t="shared" si="50"/>
        <v>52</v>
      </c>
      <c r="F573" t="s">
        <v>394</v>
      </c>
      <c r="G573">
        <f t="shared" si="51"/>
        <v>32</v>
      </c>
      <c r="H573" t="s">
        <v>640</v>
      </c>
      <c r="I573" t="str">
        <f t="shared" si="52"/>
        <v>https://hl7.org/cda/us/ccda/Binary-vital-signs-section-example.html</v>
      </c>
      <c r="J573" t="s">
        <v>1575</v>
      </c>
      <c r="K573" t="str">
        <f t="shared" si="53"/>
        <v>{ file:'2.16.840.1.113883.10.20.22.4.27.html', href:'https://hl7.org/cda/us/ccda/Binary-vital-signs-section-example.html', text:'vital-signs-section-example' },</v>
      </c>
    </row>
    <row r="574" spans="1:11" x14ac:dyDescent="0.25">
      <c r="A574" t="s">
        <v>1353</v>
      </c>
      <c r="B574" t="s">
        <v>144</v>
      </c>
      <c r="C574">
        <f t="shared" si="48"/>
        <v>13</v>
      </c>
      <c r="D574">
        <f t="shared" si="49"/>
        <v>52</v>
      </c>
      <c r="E574">
        <f t="shared" si="50"/>
        <v>52</v>
      </c>
      <c r="F574" t="s">
        <v>394</v>
      </c>
      <c r="G574">
        <f t="shared" si="51"/>
        <v>32</v>
      </c>
      <c r="H574" t="s">
        <v>640</v>
      </c>
      <c r="I574" t="str">
        <f t="shared" si="52"/>
        <v>https://hl7.org/cda/us/ccda/Binary-vital-signs-section-example.html</v>
      </c>
      <c r="J574" t="s">
        <v>1575</v>
      </c>
      <c r="K574" t="str">
        <f t="shared" si="53"/>
        <v>{ file:'2.16.840.1.113883.10.20.22.4.27.html', href:'https://hl7.org/cda/us/ccda/Binary-vital-signs-section-example.html', text:'vital-signs-section-example' },</v>
      </c>
    </row>
    <row r="575" spans="1:11" x14ac:dyDescent="0.25">
      <c r="A575" t="s">
        <v>1353</v>
      </c>
      <c r="B575" t="s">
        <v>359</v>
      </c>
      <c r="C575">
        <f t="shared" si="48"/>
        <v>13</v>
      </c>
      <c r="D575">
        <f t="shared" si="49"/>
        <v>52</v>
      </c>
      <c r="E575">
        <f t="shared" si="50"/>
        <v>52</v>
      </c>
      <c r="F575" t="s">
        <v>608</v>
      </c>
      <c r="G575">
        <f t="shared" si="51"/>
        <v>32</v>
      </c>
      <c r="H575" t="s">
        <v>824</v>
      </c>
      <c r="I575" t="str">
        <f t="shared" si="52"/>
        <v>https://hl7.org/cda/us/ccda/Binary-vital-signs-section-example.html</v>
      </c>
      <c r="J575" t="s">
        <v>1575</v>
      </c>
      <c r="K575" t="str">
        <f t="shared" si="53"/>
        <v>{ file:'2.16.840.1.113883.10.20.22.4.26.html', href:'https://hl7.org/cda/us/ccda/Binary-vital-signs-section-example.html', text:'vital-signs-section-example' },</v>
      </c>
    </row>
    <row r="576" spans="1:11" x14ac:dyDescent="0.25">
      <c r="A576" t="s">
        <v>1353</v>
      </c>
      <c r="B576" t="s">
        <v>144</v>
      </c>
      <c r="C576">
        <f t="shared" si="48"/>
        <v>13</v>
      </c>
      <c r="D576">
        <f t="shared" si="49"/>
        <v>52</v>
      </c>
      <c r="E576">
        <f t="shared" si="50"/>
        <v>52</v>
      </c>
      <c r="F576" t="s">
        <v>394</v>
      </c>
      <c r="G576">
        <f t="shared" si="51"/>
        <v>32</v>
      </c>
      <c r="H576" t="s">
        <v>640</v>
      </c>
      <c r="I576" t="str">
        <f t="shared" si="52"/>
        <v>https://hl7.org/cda/us/ccda/Binary-vital-signs-section-example.html</v>
      </c>
      <c r="J576" t="s">
        <v>1575</v>
      </c>
      <c r="K576" t="str">
        <f t="shared" si="53"/>
        <v>{ file:'2.16.840.1.113883.10.20.22.4.27.html', href:'https://hl7.org/cda/us/ccda/Binary-vital-signs-section-example.html', text:'vital-signs-section-example' },</v>
      </c>
    </row>
    <row r="577" spans="1:11" x14ac:dyDescent="0.25">
      <c r="A577" t="s">
        <v>1353</v>
      </c>
      <c r="B577" t="s">
        <v>144</v>
      </c>
      <c r="C577">
        <f t="shared" si="48"/>
        <v>13</v>
      </c>
      <c r="D577">
        <f t="shared" si="49"/>
        <v>52</v>
      </c>
      <c r="E577">
        <f t="shared" si="50"/>
        <v>52</v>
      </c>
      <c r="F577" t="s">
        <v>394</v>
      </c>
      <c r="G577">
        <f t="shared" si="51"/>
        <v>32</v>
      </c>
      <c r="H577" t="s">
        <v>640</v>
      </c>
      <c r="I577" t="str">
        <f t="shared" si="52"/>
        <v>https://hl7.org/cda/us/ccda/Binary-vital-signs-section-example.html</v>
      </c>
      <c r="J577" t="s">
        <v>1575</v>
      </c>
      <c r="K577" t="str">
        <f t="shared" si="53"/>
        <v>{ file:'2.16.840.1.113883.10.20.22.4.27.html', href:'https://hl7.org/cda/us/ccda/Binary-vital-signs-section-example.html', text:'vital-signs-section-example' },</v>
      </c>
    </row>
    <row r="578" spans="1:11" x14ac:dyDescent="0.25">
      <c r="A578" t="s">
        <v>1353</v>
      </c>
      <c r="B578" t="s">
        <v>144</v>
      </c>
      <c r="C578">
        <f t="shared" si="48"/>
        <v>13</v>
      </c>
      <c r="D578">
        <f t="shared" si="49"/>
        <v>52</v>
      </c>
      <c r="E578">
        <f t="shared" si="50"/>
        <v>52</v>
      </c>
      <c r="F578" t="s">
        <v>394</v>
      </c>
      <c r="G578">
        <f t="shared" si="51"/>
        <v>32</v>
      </c>
      <c r="H578" t="s">
        <v>640</v>
      </c>
      <c r="I578" t="str">
        <f t="shared" si="52"/>
        <v>https://hl7.org/cda/us/ccda/Binary-vital-signs-section-example.html</v>
      </c>
      <c r="J578" t="s">
        <v>1575</v>
      </c>
      <c r="K578" t="str">
        <f t="shared" si="53"/>
        <v>{ file:'2.16.840.1.113883.10.20.22.4.27.html', href:'https://hl7.org/cda/us/ccda/Binary-vital-signs-section-example.html', text:'vital-signs-section-example' },</v>
      </c>
    </row>
    <row r="579" spans="1:11" x14ac:dyDescent="0.25">
      <c r="A579" t="s">
        <v>1353</v>
      </c>
      <c r="B579" t="s">
        <v>144</v>
      </c>
      <c r="C579">
        <f t="shared" ref="C579:C586" si="54">FIND("root=",B579,1)</f>
        <v>13</v>
      </c>
      <c r="D579">
        <f t="shared" ref="D579:D586" si="55">FIND("extension",B579,1)</f>
        <v>52</v>
      </c>
      <c r="E579">
        <f t="shared" ref="E579:E586" si="56">IF(ISERR(D579),100,D579)</f>
        <v>52</v>
      </c>
      <c r="F579" t="s">
        <v>394</v>
      </c>
      <c r="G579">
        <f t="shared" ref="G579:G586" si="57">FIND("/",F579,1)</f>
        <v>32</v>
      </c>
      <c r="H579" t="s">
        <v>640</v>
      </c>
      <c r="I579" t="str">
        <f t="shared" ref="I579:I586" si="58">"https://hl7.org/cda/us/ccda/Binary-"&amp;A579&amp;".html"</f>
        <v>https://hl7.org/cda/us/ccda/Binary-vital-signs-section-example.html</v>
      </c>
      <c r="J579" t="s">
        <v>1575</v>
      </c>
      <c r="K579" t="str">
        <f t="shared" ref="K579:K586" si="59">"{ file:'"&amp;H579&amp;".html', href:'"&amp;I579&amp;"', text:'"&amp;A579&amp;"' },"</f>
        <v>{ file:'2.16.840.1.113883.10.20.22.4.27.html', href:'https://hl7.org/cda/us/ccda/Binary-vital-signs-section-example.html', text:'vital-signs-section-example' },</v>
      </c>
    </row>
    <row r="580" spans="1:11" x14ac:dyDescent="0.25">
      <c r="A580" t="s">
        <v>1353</v>
      </c>
      <c r="B580" t="s">
        <v>144</v>
      </c>
      <c r="C580">
        <f t="shared" si="54"/>
        <v>13</v>
      </c>
      <c r="D580">
        <f t="shared" si="55"/>
        <v>52</v>
      </c>
      <c r="E580">
        <f t="shared" si="56"/>
        <v>52</v>
      </c>
      <c r="F580" t="s">
        <v>394</v>
      </c>
      <c r="G580">
        <f t="shared" si="57"/>
        <v>32</v>
      </c>
      <c r="H580" t="s">
        <v>640</v>
      </c>
      <c r="I580" t="str">
        <f t="shared" si="58"/>
        <v>https://hl7.org/cda/us/ccda/Binary-vital-signs-section-example.html</v>
      </c>
      <c r="J580" t="s">
        <v>1575</v>
      </c>
      <c r="K580" t="str">
        <f t="shared" si="59"/>
        <v>{ file:'2.16.840.1.113883.10.20.22.4.27.html', href:'https://hl7.org/cda/us/ccda/Binary-vital-signs-section-example.html', text:'vital-signs-section-example' },</v>
      </c>
    </row>
    <row r="581" spans="1:11" x14ac:dyDescent="0.25">
      <c r="A581" t="s">
        <v>1353</v>
      </c>
      <c r="B581" t="s">
        <v>144</v>
      </c>
      <c r="C581">
        <f t="shared" si="54"/>
        <v>13</v>
      </c>
      <c r="D581">
        <f t="shared" si="55"/>
        <v>52</v>
      </c>
      <c r="E581">
        <f t="shared" si="56"/>
        <v>52</v>
      </c>
      <c r="F581" t="s">
        <v>394</v>
      </c>
      <c r="G581">
        <f t="shared" si="57"/>
        <v>32</v>
      </c>
      <c r="H581" t="s">
        <v>640</v>
      </c>
      <c r="I581" t="str">
        <f t="shared" si="58"/>
        <v>https://hl7.org/cda/us/ccda/Binary-vital-signs-section-example.html</v>
      </c>
      <c r="J581" t="s">
        <v>1575</v>
      </c>
      <c r="K581" t="str">
        <f t="shared" si="59"/>
        <v>{ file:'2.16.840.1.113883.10.20.22.4.27.html', href:'https://hl7.org/cda/us/ccda/Binary-vital-signs-section-example.html', text:'vital-signs-section-example' },</v>
      </c>
    </row>
    <row r="582" spans="1:11" x14ac:dyDescent="0.25">
      <c r="A582" t="s">
        <v>1353</v>
      </c>
      <c r="B582" t="s">
        <v>144</v>
      </c>
      <c r="C582">
        <f t="shared" si="54"/>
        <v>13</v>
      </c>
      <c r="D582">
        <f t="shared" si="55"/>
        <v>52</v>
      </c>
      <c r="E582">
        <f t="shared" si="56"/>
        <v>52</v>
      </c>
      <c r="F582" t="s">
        <v>394</v>
      </c>
      <c r="G582">
        <f t="shared" si="57"/>
        <v>32</v>
      </c>
      <c r="H582" t="s">
        <v>640</v>
      </c>
      <c r="I582" t="str">
        <f t="shared" si="58"/>
        <v>https://hl7.org/cda/us/ccda/Binary-vital-signs-section-example.html</v>
      </c>
      <c r="J582" t="s">
        <v>1575</v>
      </c>
      <c r="K582" t="str">
        <f t="shared" si="59"/>
        <v>{ file:'2.16.840.1.113883.10.20.22.4.27.html', href:'https://hl7.org/cda/us/ccda/Binary-vital-signs-section-example.html', text:'vital-signs-section-example' },</v>
      </c>
    </row>
    <row r="583" spans="1:11" x14ac:dyDescent="0.25">
      <c r="A583" t="s">
        <v>1353</v>
      </c>
      <c r="B583" t="s">
        <v>144</v>
      </c>
      <c r="C583">
        <f t="shared" si="54"/>
        <v>13</v>
      </c>
      <c r="D583">
        <f t="shared" si="55"/>
        <v>52</v>
      </c>
      <c r="E583">
        <f t="shared" si="56"/>
        <v>52</v>
      </c>
      <c r="F583" t="s">
        <v>394</v>
      </c>
      <c r="G583">
        <f t="shared" si="57"/>
        <v>32</v>
      </c>
      <c r="H583" t="s">
        <v>640</v>
      </c>
      <c r="I583" t="str">
        <f t="shared" si="58"/>
        <v>https://hl7.org/cda/us/ccda/Binary-vital-signs-section-example.html</v>
      </c>
      <c r="J583" t="s">
        <v>1575</v>
      </c>
      <c r="K583" t="str">
        <f t="shared" si="59"/>
        <v>{ file:'2.16.840.1.113883.10.20.22.4.27.html', href:'https://hl7.org/cda/us/ccda/Binary-vital-signs-section-example.html', text:'vital-signs-section-example' },</v>
      </c>
    </row>
    <row r="584" spans="1:11" x14ac:dyDescent="0.25">
      <c r="A584" t="s">
        <v>1353</v>
      </c>
      <c r="B584" t="s">
        <v>144</v>
      </c>
      <c r="C584">
        <f t="shared" si="54"/>
        <v>13</v>
      </c>
      <c r="D584">
        <f t="shared" si="55"/>
        <v>52</v>
      </c>
      <c r="E584">
        <f t="shared" si="56"/>
        <v>52</v>
      </c>
      <c r="F584" t="s">
        <v>394</v>
      </c>
      <c r="G584">
        <f t="shared" si="57"/>
        <v>32</v>
      </c>
      <c r="H584" t="s">
        <v>640</v>
      </c>
      <c r="I584" t="str">
        <f t="shared" si="58"/>
        <v>https://hl7.org/cda/us/ccda/Binary-vital-signs-section-example.html</v>
      </c>
      <c r="J584" t="s">
        <v>1575</v>
      </c>
      <c r="K584" t="str">
        <f t="shared" si="59"/>
        <v>{ file:'2.16.840.1.113883.10.20.22.4.27.html', href:'https://hl7.org/cda/us/ccda/Binary-vital-signs-section-example.html', text:'vital-signs-section-example' },</v>
      </c>
    </row>
    <row r="585" spans="1:11" x14ac:dyDescent="0.25">
      <c r="A585" t="s">
        <v>1354</v>
      </c>
      <c r="B585" t="s">
        <v>361</v>
      </c>
      <c r="C585">
        <f t="shared" si="54"/>
        <v>13</v>
      </c>
      <c r="D585" t="e">
        <f t="shared" si="55"/>
        <v>#VALUE!</v>
      </c>
      <c r="E585">
        <f t="shared" si="56"/>
        <v>100</v>
      </c>
      <c r="F585" t="s">
        <v>609</v>
      </c>
      <c r="G585">
        <f t="shared" si="57"/>
        <v>33</v>
      </c>
      <c r="H585" t="s">
        <v>825</v>
      </c>
      <c r="I585" t="str">
        <f t="shared" si="58"/>
        <v>https://hl7.org/cda/us/ccda/Binary-wound-characteristic-example.html</v>
      </c>
      <c r="J585" t="s">
        <v>1576</v>
      </c>
      <c r="K585" t="str">
        <f t="shared" si="59"/>
        <v>{ file:'2.16.840.1.113883.10.20.22.4.134.html', href:'https://hl7.org/cda/us/ccda/Binary-wound-characteristic-example.html', text:'wound-characteristic-example' },</v>
      </c>
    </row>
    <row r="586" spans="1:11" x14ac:dyDescent="0.25">
      <c r="A586" t="s">
        <v>1355</v>
      </c>
      <c r="B586" t="s">
        <v>362</v>
      </c>
      <c r="C586">
        <f t="shared" si="54"/>
        <v>13</v>
      </c>
      <c r="D586" t="e">
        <f t="shared" si="55"/>
        <v>#VALUE!</v>
      </c>
      <c r="E586">
        <f t="shared" si="56"/>
        <v>100</v>
      </c>
      <c r="F586" t="s">
        <v>610</v>
      </c>
      <c r="G586">
        <f t="shared" si="57"/>
        <v>33</v>
      </c>
      <c r="H586" t="s">
        <v>826</v>
      </c>
      <c r="I586" t="str">
        <f t="shared" si="58"/>
        <v>https://hl7.org/cda/us/ccda/Binary-wound-measurement-observation-example.html</v>
      </c>
      <c r="J586" t="s">
        <v>1577</v>
      </c>
      <c r="K586" t="str">
        <f t="shared" si="59"/>
        <v>{ file:'2.16.840.1.113883.10.20.22.4.133.html', href:'https://hl7.org/cda/us/ccda/Binary-wound-measurement-observation-example.html', text:'wound-measurement-observation-example' },</v>
      </c>
    </row>
    <row r="589" spans="1:11" x14ac:dyDescent="0.25">
      <c r="A589" t="s">
        <v>1679</v>
      </c>
      <c r="B589">
        <v>1</v>
      </c>
    </row>
    <row r="590" spans="1:11" x14ac:dyDescent="0.25">
      <c r="A590" t="s">
        <v>2020</v>
      </c>
      <c r="B590">
        <v>1</v>
      </c>
    </row>
    <row r="591" spans="1:11" x14ac:dyDescent="0.25">
      <c r="A591" t="s">
        <v>2027</v>
      </c>
      <c r="B591">
        <v>1</v>
      </c>
    </row>
    <row r="592" spans="1:11" x14ac:dyDescent="0.25">
      <c r="A592" t="s">
        <v>2101</v>
      </c>
      <c r="B592">
        <v>1</v>
      </c>
    </row>
    <row r="593" spans="1:2" x14ac:dyDescent="0.25">
      <c r="A593" t="s">
        <v>1803</v>
      </c>
      <c r="B593">
        <v>1</v>
      </c>
    </row>
    <row r="594" spans="1:2" x14ac:dyDescent="0.25">
      <c r="A594" t="s">
        <v>2049</v>
      </c>
      <c r="B594">
        <v>1</v>
      </c>
    </row>
    <row r="595" spans="1:2" x14ac:dyDescent="0.25">
      <c r="A595" t="s">
        <v>1814</v>
      </c>
      <c r="B595">
        <v>1</v>
      </c>
    </row>
    <row r="596" spans="1:2" x14ac:dyDescent="0.25">
      <c r="A596" t="s">
        <v>1691</v>
      </c>
      <c r="B596">
        <v>1</v>
      </c>
    </row>
    <row r="597" spans="1:2" x14ac:dyDescent="0.25">
      <c r="A597" t="s">
        <v>1794</v>
      </c>
      <c r="B597">
        <v>1</v>
      </c>
    </row>
    <row r="598" spans="1:2" x14ac:dyDescent="0.25">
      <c r="A598" t="s">
        <v>1804</v>
      </c>
      <c r="B598">
        <v>1</v>
      </c>
    </row>
    <row r="599" spans="1:2" x14ac:dyDescent="0.25">
      <c r="A599" t="s">
        <v>1722</v>
      </c>
      <c r="B599">
        <v>1</v>
      </c>
    </row>
    <row r="600" spans="1:2" x14ac:dyDescent="0.25">
      <c r="A600" t="s">
        <v>1809</v>
      </c>
      <c r="B600">
        <v>1</v>
      </c>
    </row>
    <row r="601" spans="1:2" x14ac:dyDescent="0.25">
      <c r="A601" t="s">
        <v>1638</v>
      </c>
      <c r="B601">
        <v>1</v>
      </c>
    </row>
    <row r="602" spans="1:2" x14ac:dyDescent="0.25">
      <c r="A602" t="s">
        <v>1951</v>
      </c>
      <c r="B602">
        <v>1</v>
      </c>
    </row>
    <row r="603" spans="1:2" x14ac:dyDescent="0.25">
      <c r="A603" t="s">
        <v>1588</v>
      </c>
      <c r="B603">
        <v>1</v>
      </c>
    </row>
    <row r="604" spans="1:2" x14ac:dyDescent="0.25">
      <c r="A604" t="s">
        <v>1591</v>
      </c>
      <c r="B604">
        <v>1</v>
      </c>
    </row>
    <row r="605" spans="1:2" x14ac:dyDescent="0.25">
      <c r="A605" t="s">
        <v>1744</v>
      </c>
      <c r="B605">
        <v>1</v>
      </c>
    </row>
    <row r="606" spans="1:2" x14ac:dyDescent="0.25">
      <c r="A606" t="s">
        <v>1963</v>
      </c>
      <c r="B606">
        <v>1</v>
      </c>
    </row>
    <row r="607" spans="1:2" x14ac:dyDescent="0.25">
      <c r="A607" t="s">
        <v>1962</v>
      </c>
      <c r="B607">
        <v>1</v>
      </c>
    </row>
    <row r="608" spans="1:2" x14ac:dyDescent="0.25">
      <c r="A608" t="s">
        <v>1986</v>
      </c>
      <c r="B608">
        <v>1</v>
      </c>
    </row>
    <row r="609" spans="1:2" x14ac:dyDescent="0.25">
      <c r="A609" t="s">
        <v>1906</v>
      </c>
      <c r="B609">
        <v>1</v>
      </c>
    </row>
    <row r="610" spans="1:2" x14ac:dyDescent="0.25">
      <c r="A610" t="s">
        <v>1987</v>
      </c>
      <c r="B610">
        <v>1</v>
      </c>
    </row>
    <row r="611" spans="1:2" x14ac:dyDescent="0.25">
      <c r="A611" t="s">
        <v>1694</v>
      </c>
      <c r="B611">
        <v>1</v>
      </c>
    </row>
    <row r="612" spans="1:2" x14ac:dyDescent="0.25">
      <c r="A612" t="s">
        <v>1797</v>
      </c>
      <c r="B612">
        <v>1</v>
      </c>
    </row>
    <row r="613" spans="1:2" x14ac:dyDescent="0.25">
      <c r="A613" t="s">
        <v>1927</v>
      </c>
      <c r="B613">
        <v>1</v>
      </c>
    </row>
    <row r="614" spans="1:2" x14ac:dyDescent="0.25">
      <c r="A614" t="s">
        <v>1769</v>
      </c>
      <c r="B614">
        <v>1</v>
      </c>
    </row>
    <row r="615" spans="1:2" x14ac:dyDescent="0.25">
      <c r="A615" t="s">
        <v>1802</v>
      </c>
      <c r="B615">
        <v>1</v>
      </c>
    </row>
    <row r="616" spans="1:2" x14ac:dyDescent="0.25">
      <c r="A616" t="s">
        <v>1899</v>
      </c>
      <c r="B616">
        <v>1</v>
      </c>
    </row>
    <row r="617" spans="1:2" x14ac:dyDescent="0.25">
      <c r="A617" t="s">
        <v>2085</v>
      </c>
      <c r="B617">
        <v>1</v>
      </c>
    </row>
    <row r="618" spans="1:2" x14ac:dyDescent="0.25">
      <c r="A618" t="s">
        <v>2008</v>
      </c>
      <c r="B618">
        <v>1</v>
      </c>
    </row>
    <row r="619" spans="1:2" x14ac:dyDescent="0.25">
      <c r="A619" t="s">
        <v>2013</v>
      </c>
      <c r="B619">
        <v>1</v>
      </c>
    </row>
    <row r="620" spans="1:2" x14ac:dyDescent="0.25">
      <c r="A620" t="s">
        <v>1652</v>
      </c>
      <c r="B620">
        <v>1</v>
      </c>
    </row>
    <row r="621" spans="1:2" x14ac:dyDescent="0.25">
      <c r="A621" t="s">
        <v>1666</v>
      </c>
      <c r="B621">
        <v>1</v>
      </c>
    </row>
    <row r="622" spans="1:2" x14ac:dyDescent="0.25">
      <c r="A622" t="s">
        <v>1685</v>
      </c>
      <c r="B622">
        <v>1</v>
      </c>
    </row>
    <row r="623" spans="1:2" x14ac:dyDescent="0.25">
      <c r="A623" t="s">
        <v>1720</v>
      </c>
      <c r="B623">
        <v>1</v>
      </c>
    </row>
    <row r="624" spans="1:2" x14ac:dyDescent="0.25">
      <c r="A624" t="s">
        <v>1788</v>
      </c>
      <c r="B624">
        <v>1</v>
      </c>
    </row>
    <row r="625" spans="1:2" x14ac:dyDescent="0.25">
      <c r="A625" t="s">
        <v>1901</v>
      </c>
      <c r="B625">
        <v>1</v>
      </c>
    </row>
    <row r="626" spans="1:2" x14ac:dyDescent="0.25">
      <c r="A626" t="s">
        <v>1920</v>
      </c>
      <c r="B626">
        <v>1</v>
      </c>
    </row>
    <row r="627" spans="1:2" x14ac:dyDescent="0.25">
      <c r="A627" t="s">
        <v>1993</v>
      </c>
      <c r="B627">
        <v>1</v>
      </c>
    </row>
    <row r="628" spans="1:2" x14ac:dyDescent="0.25">
      <c r="A628" t="s">
        <v>2006</v>
      </c>
      <c r="B628">
        <v>1</v>
      </c>
    </row>
    <row r="629" spans="1:2" x14ac:dyDescent="0.25">
      <c r="A629" t="s">
        <v>2025</v>
      </c>
      <c r="B629">
        <v>1</v>
      </c>
    </row>
    <row r="630" spans="1:2" x14ac:dyDescent="0.25">
      <c r="A630" t="s">
        <v>2090</v>
      </c>
      <c r="B630">
        <v>1</v>
      </c>
    </row>
    <row r="631" spans="1:2" x14ac:dyDescent="0.25">
      <c r="A631" t="s">
        <v>2091</v>
      </c>
      <c r="B631">
        <v>1</v>
      </c>
    </row>
    <row r="632" spans="1:2" x14ac:dyDescent="0.25">
      <c r="A632" t="s">
        <v>2026</v>
      </c>
      <c r="B632">
        <v>1</v>
      </c>
    </row>
    <row r="633" spans="1:2" x14ac:dyDescent="0.25">
      <c r="A633" t="s">
        <v>1653</v>
      </c>
      <c r="B633">
        <v>1</v>
      </c>
    </row>
    <row r="634" spans="1:2" x14ac:dyDescent="0.25">
      <c r="A634" t="s">
        <v>1667</v>
      </c>
      <c r="B634">
        <v>1</v>
      </c>
    </row>
    <row r="635" spans="1:2" x14ac:dyDescent="0.25">
      <c r="A635" t="s">
        <v>1789</v>
      </c>
      <c r="B635">
        <v>1</v>
      </c>
    </row>
    <row r="636" spans="1:2" x14ac:dyDescent="0.25">
      <c r="A636" t="s">
        <v>1686</v>
      </c>
      <c r="B636">
        <v>1</v>
      </c>
    </row>
    <row r="637" spans="1:2" x14ac:dyDescent="0.25">
      <c r="A637" t="s">
        <v>1994</v>
      </c>
      <c r="B637">
        <v>1</v>
      </c>
    </row>
    <row r="638" spans="1:2" x14ac:dyDescent="0.25">
      <c r="A638" t="s">
        <v>1902</v>
      </c>
      <c r="B638">
        <v>1</v>
      </c>
    </row>
    <row r="639" spans="1:2" x14ac:dyDescent="0.25">
      <c r="A639" t="s">
        <v>1721</v>
      </c>
      <c r="B639">
        <v>1</v>
      </c>
    </row>
    <row r="640" spans="1:2" x14ac:dyDescent="0.25">
      <c r="A640" t="s">
        <v>2007</v>
      </c>
      <c r="B640">
        <v>1</v>
      </c>
    </row>
    <row r="641" spans="1:2" x14ac:dyDescent="0.25">
      <c r="A641" t="s">
        <v>1674</v>
      </c>
      <c r="B641">
        <v>1</v>
      </c>
    </row>
    <row r="642" spans="1:2" x14ac:dyDescent="0.25">
      <c r="A642" t="s">
        <v>1689</v>
      </c>
      <c r="B642">
        <v>1</v>
      </c>
    </row>
    <row r="643" spans="1:2" x14ac:dyDescent="0.25">
      <c r="A643" t="s">
        <v>1792</v>
      </c>
      <c r="B643">
        <v>1</v>
      </c>
    </row>
    <row r="644" spans="1:2" x14ac:dyDescent="0.25">
      <c r="A644" t="s">
        <v>1859</v>
      </c>
      <c r="B644">
        <v>1</v>
      </c>
    </row>
    <row r="645" spans="1:2" x14ac:dyDescent="0.25">
      <c r="A645" t="s">
        <v>2030</v>
      </c>
      <c r="B645">
        <v>1</v>
      </c>
    </row>
    <row r="646" spans="1:2" x14ac:dyDescent="0.25">
      <c r="A646" t="s">
        <v>2097</v>
      </c>
      <c r="B646">
        <v>1</v>
      </c>
    </row>
    <row r="647" spans="1:2" x14ac:dyDescent="0.25">
      <c r="A647" t="s">
        <v>1724</v>
      </c>
      <c r="B647">
        <v>1</v>
      </c>
    </row>
    <row r="648" spans="1:2" x14ac:dyDescent="0.25">
      <c r="A648" t="s">
        <v>1928</v>
      </c>
      <c r="B648">
        <v>1</v>
      </c>
    </row>
    <row r="649" spans="1:2" x14ac:dyDescent="0.25">
      <c r="A649" t="s">
        <v>2031</v>
      </c>
      <c r="B649">
        <v>1</v>
      </c>
    </row>
    <row r="650" spans="1:2" x14ac:dyDescent="0.25">
      <c r="A650" t="s">
        <v>1716</v>
      </c>
      <c r="B650">
        <v>1</v>
      </c>
    </row>
    <row r="651" spans="1:2" x14ac:dyDescent="0.25">
      <c r="A651" t="s">
        <v>1726</v>
      </c>
      <c r="B651">
        <v>1</v>
      </c>
    </row>
    <row r="652" spans="1:2" x14ac:dyDescent="0.25">
      <c r="A652" t="s">
        <v>1693</v>
      </c>
      <c r="B652">
        <v>1</v>
      </c>
    </row>
    <row r="653" spans="1:2" x14ac:dyDescent="0.25">
      <c r="A653" t="s">
        <v>1796</v>
      </c>
      <c r="B653">
        <v>1</v>
      </c>
    </row>
    <row r="654" spans="1:2" x14ac:dyDescent="0.25">
      <c r="A654" t="s">
        <v>2022</v>
      </c>
      <c r="B654">
        <v>1</v>
      </c>
    </row>
    <row r="655" spans="1:2" x14ac:dyDescent="0.25">
      <c r="A655" t="s">
        <v>1678</v>
      </c>
      <c r="B655">
        <v>1</v>
      </c>
    </row>
    <row r="656" spans="1:2" x14ac:dyDescent="0.25">
      <c r="A656" t="s">
        <v>1761</v>
      </c>
      <c r="B656">
        <v>1</v>
      </c>
    </row>
    <row r="657" spans="1:2" x14ac:dyDescent="0.25">
      <c r="A657" t="s">
        <v>2034</v>
      </c>
      <c r="B657">
        <v>1</v>
      </c>
    </row>
    <row r="658" spans="1:2" x14ac:dyDescent="0.25">
      <c r="A658" t="s">
        <v>1753</v>
      </c>
      <c r="B658">
        <v>1</v>
      </c>
    </row>
    <row r="659" spans="1:2" x14ac:dyDescent="0.25">
      <c r="A659" t="s">
        <v>1800</v>
      </c>
      <c r="B659">
        <v>1</v>
      </c>
    </row>
    <row r="660" spans="1:2" x14ac:dyDescent="0.25">
      <c r="A660" t="s">
        <v>1815</v>
      </c>
      <c r="B660">
        <v>1</v>
      </c>
    </row>
    <row r="661" spans="1:2" x14ac:dyDescent="0.25">
      <c r="A661" t="s">
        <v>1671</v>
      </c>
      <c r="B661">
        <v>1</v>
      </c>
    </row>
    <row r="662" spans="1:2" x14ac:dyDescent="0.25">
      <c r="A662" t="s">
        <v>1799</v>
      </c>
      <c r="B662">
        <v>1</v>
      </c>
    </row>
    <row r="663" spans="1:2" x14ac:dyDescent="0.25">
      <c r="A663" t="s">
        <v>2075</v>
      </c>
      <c r="B663">
        <v>1</v>
      </c>
    </row>
    <row r="664" spans="1:2" x14ac:dyDescent="0.25">
      <c r="A664" t="s">
        <v>2094</v>
      </c>
      <c r="B664">
        <v>1</v>
      </c>
    </row>
    <row r="665" spans="1:2" x14ac:dyDescent="0.25">
      <c r="A665" t="s">
        <v>1922</v>
      </c>
      <c r="B665">
        <v>1</v>
      </c>
    </row>
    <row r="666" spans="1:2" x14ac:dyDescent="0.25">
      <c r="A666" t="s">
        <v>1820</v>
      </c>
      <c r="B666">
        <v>1</v>
      </c>
    </row>
    <row r="667" spans="1:2" x14ac:dyDescent="0.25">
      <c r="A667" t="s">
        <v>1801</v>
      </c>
      <c r="B667">
        <v>1</v>
      </c>
    </row>
    <row r="668" spans="1:2" x14ac:dyDescent="0.25">
      <c r="A668" t="s">
        <v>1919</v>
      </c>
      <c r="B668">
        <v>1</v>
      </c>
    </row>
    <row r="669" spans="1:2" x14ac:dyDescent="0.25">
      <c r="A669" t="s">
        <v>1592</v>
      </c>
      <c r="B669">
        <v>1</v>
      </c>
    </row>
    <row r="670" spans="1:2" x14ac:dyDescent="0.25">
      <c r="A670" t="s">
        <v>1670</v>
      </c>
      <c r="B670">
        <v>1</v>
      </c>
    </row>
    <row r="671" spans="1:2" x14ac:dyDescent="0.25">
      <c r="A671" t="s">
        <v>1739</v>
      </c>
      <c r="B671">
        <v>1</v>
      </c>
    </row>
    <row r="672" spans="1:2" x14ac:dyDescent="0.25">
      <c r="A672" t="s">
        <v>2093</v>
      </c>
      <c r="B672">
        <v>1</v>
      </c>
    </row>
    <row r="673" spans="1:2" x14ac:dyDescent="0.25">
      <c r="A673" t="s">
        <v>1841</v>
      </c>
      <c r="B673">
        <v>1</v>
      </c>
    </row>
    <row r="674" spans="1:2" x14ac:dyDescent="0.25">
      <c r="A674" t="s">
        <v>1710</v>
      </c>
      <c r="B674">
        <v>1</v>
      </c>
    </row>
    <row r="675" spans="1:2" x14ac:dyDescent="0.25">
      <c r="A675" t="s">
        <v>1723</v>
      </c>
      <c r="B675">
        <v>1</v>
      </c>
    </row>
    <row r="676" spans="1:2" x14ac:dyDescent="0.25">
      <c r="A676" t="s">
        <v>1628</v>
      </c>
      <c r="B676">
        <v>1</v>
      </c>
    </row>
    <row r="677" spans="1:2" x14ac:dyDescent="0.25">
      <c r="A677" t="s">
        <v>1903</v>
      </c>
      <c r="B677">
        <v>1</v>
      </c>
    </row>
    <row r="678" spans="1:2" x14ac:dyDescent="0.25">
      <c r="A678" t="s">
        <v>1909</v>
      </c>
      <c r="B678">
        <v>1</v>
      </c>
    </row>
    <row r="679" spans="1:2" x14ac:dyDescent="0.25">
      <c r="A679" t="s">
        <v>1985</v>
      </c>
      <c r="B679">
        <v>1</v>
      </c>
    </row>
    <row r="680" spans="1:2" x14ac:dyDescent="0.25">
      <c r="A680" t="s">
        <v>1996</v>
      </c>
      <c r="B680">
        <v>1</v>
      </c>
    </row>
    <row r="681" spans="1:2" x14ac:dyDescent="0.25">
      <c r="A681" t="s">
        <v>1907</v>
      </c>
      <c r="B681">
        <v>1</v>
      </c>
    </row>
    <row r="682" spans="1:2" x14ac:dyDescent="0.25">
      <c r="A682" t="s">
        <v>1988</v>
      </c>
      <c r="B682">
        <v>1</v>
      </c>
    </row>
    <row r="683" spans="1:2" x14ac:dyDescent="0.25">
      <c r="A683" t="s">
        <v>1991</v>
      </c>
      <c r="B683">
        <v>1</v>
      </c>
    </row>
    <row r="684" spans="1:2" x14ac:dyDescent="0.25">
      <c r="A684" t="s">
        <v>1997</v>
      </c>
      <c r="B684">
        <v>1</v>
      </c>
    </row>
    <row r="685" spans="1:2" x14ac:dyDescent="0.25">
      <c r="A685" t="s">
        <v>1675</v>
      </c>
      <c r="B685">
        <v>1</v>
      </c>
    </row>
    <row r="686" spans="1:2" x14ac:dyDescent="0.25">
      <c r="A686" t="s">
        <v>1692</v>
      </c>
      <c r="B686">
        <v>1</v>
      </c>
    </row>
    <row r="687" spans="1:2" x14ac:dyDescent="0.25">
      <c r="A687" t="s">
        <v>1728</v>
      </c>
      <c r="B687">
        <v>1</v>
      </c>
    </row>
    <row r="688" spans="1:2" x14ac:dyDescent="0.25">
      <c r="A688" t="s">
        <v>1795</v>
      </c>
      <c r="B688">
        <v>1</v>
      </c>
    </row>
    <row r="689" spans="1:2" x14ac:dyDescent="0.25">
      <c r="A689" t="s">
        <v>2033</v>
      </c>
      <c r="B689">
        <v>1</v>
      </c>
    </row>
    <row r="690" spans="1:2" x14ac:dyDescent="0.25">
      <c r="A690" t="s">
        <v>2045</v>
      </c>
      <c r="B690">
        <v>1</v>
      </c>
    </row>
    <row r="691" spans="1:2" x14ac:dyDescent="0.25">
      <c r="A691" t="s">
        <v>2098</v>
      </c>
      <c r="B691">
        <v>1</v>
      </c>
    </row>
    <row r="692" spans="1:2" x14ac:dyDescent="0.25">
      <c r="A692" t="s">
        <v>1942</v>
      </c>
      <c r="B692">
        <v>1</v>
      </c>
    </row>
    <row r="693" spans="1:2" x14ac:dyDescent="0.25">
      <c r="A693" t="s">
        <v>1908</v>
      </c>
      <c r="B693">
        <v>1</v>
      </c>
    </row>
    <row r="694" spans="1:2" x14ac:dyDescent="0.25">
      <c r="A694" t="s">
        <v>2000</v>
      </c>
      <c r="B694">
        <v>1</v>
      </c>
    </row>
    <row r="695" spans="1:2" x14ac:dyDescent="0.25">
      <c r="A695" t="s">
        <v>1905</v>
      </c>
      <c r="B695">
        <v>1</v>
      </c>
    </row>
    <row r="696" spans="1:2" x14ac:dyDescent="0.25">
      <c r="A696" t="s">
        <v>1967</v>
      </c>
      <c r="B696">
        <v>1</v>
      </c>
    </row>
    <row r="697" spans="1:2" x14ac:dyDescent="0.25">
      <c r="A697" t="s">
        <v>1910</v>
      </c>
      <c r="B697">
        <v>1</v>
      </c>
    </row>
    <row r="698" spans="1:2" x14ac:dyDescent="0.25">
      <c r="A698" t="s">
        <v>1952</v>
      </c>
      <c r="B698">
        <v>1</v>
      </c>
    </row>
    <row r="699" spans="1:2" x14ac:dyDescent="0.25">
      <c r="A699" t="s">
        <v>1956</v>
      </c>
      <c r="B699">
        <v>1</v>
      </c>
    </row>
    <row r="700" spans="1:2" x14ac:dyDescent="0.25">
      <c r="A700" t="s">
        <v>1998</v>
      </c>
      <c r="B700">
        <v>1</v>
      </c>
    </row>
    <row r="701" spans="1:2" x14ac:dyDescent="0.25">
      <c r="A701" t="s">
        <v>1684</v>
      </c>
      <c r="B701">
        <v>1</v>
      </c>
    </row>
    <row r="702" spans="1:2" x14ac:dyDescent="0.25">
      <c r="A702" t="s">
        <v>1904</v>
      </c>
      <c r="B702">
        <v>1</v>
      </c>
    </row>
    <row r="703" spans="1:2" x14ac:dyDescent="0.25">
      <c r="A703" t="s">
        <v>1995</v>
      </c>
      <c r="B703">
        <v>1</v>
      </c>
    </row>
    <row r="704" spans="1:2" x14ac:dyDescent="0.25">
      <c r="A704" t="s">
        <v>1857</v>
      </c>
      <c r="B704">
        <v>1</v>
      </c>
    </row>
    <row r="705" spans="1:2" x14ac:dyDescent="0.25">
      <c r="A705" t="s">
        <v>1676</v>
      </c>
      <c r="B705">
        <v>1</v>
      </c>
    </row>
    <row r="706" spans="1:2" x14ac:dyDescent="0.25">
      <c r="A706" t="s">
        <v>1798</v>
      </c>
      <c r="B706">
        <v>1</v>
      </c>
    </row>
    <row r="707" spans="1:2" x14ac:dyDescent="0.25">
      <c r="A707" t="s">
        <v>2099</v>
      </c>
      <c r="B707">
        <v>1</v>
      </c>
    </row>
    <row r="708" spans="1:2" x14ac:dyDescent="0.25">
      <c r="A708" t="s">
        <v>2124</v>
      </c>
      <c r="B708">
        <v>1</v>
      </c>
    </row>
    <row r="709" spans="1:2" x14ac:dyDescent="0.25">
      <c r="A709" t="s">
        <v>1990</v>
      </c>
      <c r="B709">
        <v>1</v>
      </c>
    </row>
    <row r="710" spans="1:2" x14ac:dyDescent="0.25">
      <c r="A710" t="s">
        <v>1813</v>
      </c>
      <c r="B710">
        <v>1</v>
      </c>
    </row>
    <row r="711" spans="1:2" x14ac:dyDescent="0.25">
      <c r="A711" t="s">
        <v>1725</v>
      </c>
      <c r="B711">
        <v>1</v>
      </c>
    </row>
    <row r="712" spans="1:2" x14ac:dyDescent="0.25">
      <c r="A712" t="s">
        <v>1808</v>
      </c>
      <c r="B712">
        <v>1</v>
      </c>
    </row>
    <row r="713" spans="1:2" x14ac:dyDescent="0.25">
      <c r="A713" t="s">
        <v>1578</v>
      </c>
      <c r="B713">
        <v>1</v>
      </c>
    </row>
    <row r="714" spans="1:2" x14ac:dyDescent="0.25">
      <c r="A714" t="s">
        <v>1828</v>
      </c>
      <c r="B714">
        <v>1</v>
      </c>
    </row>
    <row r="715" spans="1:2" x14ac:dyDescent="0.25">
      <c r="A715" t="s">
        <v>1673</v>
      </c>
      <c r="B715">
        <v>1</v>
      </c>
    </row>
    <row r="716" spans="1:2" x14ac:dyDescent="0.25">
      <c r="A716" t="s">
        <v>1688</v>
      </c>
      <c r="B716">
        <v>1</v>
      </c>
    </row>
    <row r="717" spans="1:2" x14ac:dyDescent="0.25">
      <c r="A717" t="s">
        <v>1791</v>
      </c>
      <c r="B717">
        <v>1</v>
      </c>
    </row>
    <row r="718" spans="1:2" x14ac:dyDescent="0.25">
      <c r="A718" t="s">
        <v>1875</v>
      </c>
      <c r="B718">
        <v>1</v>
      </c>
    </row>
    <row r="719" spans="1:2" x14ac:dyDescent="0.25">
      <c r="A719" t="s">
        <v>1980</v>
      </c>
      <c r="B719">
        <v>1</v>
      </c>
    </row>
    <row r="720" spans="1:2" x14ac:dyDescent="0.25">
      <c r="A720" t="s">
        <v>2029</v>
      </c>
      <c r="B720">
        <v>1</v>
      </c>
    </row>
    <row r="721" spans="1:2" x14ac:dyDescent="0.25">
      <c r="A721" t="s">
        <v>2096</v>
      </c>
      <c r="B721">
        <v>1</v>
      </c>
    </row>
    <row r="722" spans="1:2" x14ac:dyDescent="0.25">
      <c r="A722" t="s">
        <v>1663</v>
      </c>
      <c r="B722">
        <v>1</v>
      </c>
    </row>
    <row r="723" spans="1:2" x14ac:dyDescent="0.25">
      <c r="A723" t="s">
        <v>1867</v>
      </c>
      <c r="B723">
        <v>1</v>
      </c>
    </row>
    <row r="724" spans="1:2" x14ac:dyDescent="0.25">
      <c r="A724" t="s">
        <v>2035</v>
      </c>
      <c r="B724">
        <v>1</v>
      </c>
    </row>
    <row r="725" spans="1:2" x14ac:dyDescent="0.25">
      <c r="A725" t="s">
        <v>1894</v>
      </c>
      <c r="B725">
        <v>1</v>
      </c>
    </row>
    <row r="726" spans="1:2" x14ac:dyDescent="0.25">
      <c r="A726" t="s">
        <v>2036</v>
      </c>
      <c r="B726">
        <v>1</v>
      </c>
    </row>
    <row r="727" spans="1:2" x14ac:dyDescent="0.25">
      <c r="A727" t="s">
        <v>1654</v>
      </c>
      <c r="B727">
        <v>1</v>
      </c>
    </row>
    <row r="728" spans="1:2" x14ac:dyDescent="0.25">
      <c r="A728" t="s">
        <v>1782</v>
      </c>
      <c r="B728">
        <v>1</v>
      </c>
    </row>
    <row r="729" spans="1:2" x14ac:dyDescent="0.25">
      <c r="A729" t="s">
        <v>1596</v>
      </c>
      <c r="B729">
        <v>1</v>
      </c>
    </row>
    <row r="730" spans="1:2" x14ac:dyDescent="0.25">
      <c r="A730" t="s">
        <v>1621</v>
      </c>
      <c r="B730">
        <v>1</v>
      </c>
    </row>
    <row r="731" spans="1:2" x14ac:dyDescent="0.25">
      <c r="A731" t="s">
        <v>1672</v>
      </c>
      <c r="B731">
        <v>1</v>
      </c>
    </row>
    <row r="732" spans="1:2" x14ac:dyDescent="0.25">
      <c r="A732" t="s">
        <v>1687</v>
      </c>
      <c r="B732">
        <v>1</v>
      </c>
    </row>
    <row r="733" spans="1:2" x14ac:dyDescent="0.25">
      <c r="A733" t="s">
        <v>1727</v>
      </c>
      <c r="B733">
        <v>1</v>
      </c>
    </row>
    <row r="734" spans="1:2" x14ac:dyDescent="0.25">
      <c r="A734" t="s">
        <v>1790</v>
      </c>
      <c r="B734">
        <v>1</v>
      </c>
    </row>
    <row r="735" spans="1:2" x14ac:dyDescent="0.25">
      <c r="A735" t="s">
        <v>2028</v>
      </c>
      <c r="B735">
        <v>1</v>
      </c>
    </row>
    <row r="736" spans="1:2" x14ac:dyDescent="0.25">
      <c r="A736" t="s">
        <v>2095</v>
      </c>
      <c r="B736">
        <v>1</v>
      </c>
    </row>
    <row r="737" spans="1:2" x14ac:dyDescent="0.25">
      <c r="A737" t="s">
        <v>1655</v>
      </c>
      <c r="B737">
        <v>1</v>
      </c>
    </row>
    <row r="738" spans="1:2" x14ac:dyDescent="0.25">
      <c r="A738" t="s">
        <v>1774</v>
      </c>
      <c r="B738">
        <v>1</v>
      </c>
    </row>
    <row r="739" spans="1:2" x14ac:dyDescent="0.25">
      <c r="A739" t="s">
        <v>1656</v>
      </c>
      <c r="B739">
        <v>1</v>
      </c>
    </row>
    <row r="740" spans="1:2" x14ac:dyDescent="0.25">
      <c r="A740" t="s">
        <v>1915</v>
      </c>
      <c r="B740">
        <v>1</v>
      </c>
    </row>
    <row r="741" spans="1:2" x14ac:dyDescent="0.25">
      <c r="A741" t="s">
        <v>1695</v>
      </c>
      <c r="B741">
        <v>1</v>
      </c>
    </row>
    <row r="742" spans="1:2" x14ac:dyDescent="0.25">
      <c r="A742" t="s">
        <v>1889</v>
      </c>
      <c r="B742">
        <v>1</v>
      </c>
    </row>
    <row r="743" spans="1:2" x14ac:dyDescent="0.25">
      <c r="A743" t="s">
        <v>2010</v>
      </c>
      <c r="B743">
        <v>1</v>
      </c>
    </row>
    <row r="744" spans="1:2" x14ac:dyDescent="0.25">
      <c r="A744" t="s">
        <v>1729</v>
      </c>
      <c r="B744">
        <v>1</v>
      </c>
    </row>
    <row r="745" spans="1:2" x14ac:dyDescent="0.25">
      <c r="A745" t="s">
        <v>1881</v>
      </c>
      <c r="B745">
        <v>1</v>
      </c>
    </row>
    <row r="746" spans="1:2" x14ac:dyDescent="0.25">
      <c r="A746" t="s">
        <v>1885</v>
      </c>
      <c r="B746">
        <v>1</v>
      </c>
    </row>
    <row r="747" spans="1:2" x14ac:dyDescent="0.25">
      <c r="A747" t="s">
        <v>2001</v>
      </c>
      <c r="B747">
        <v>1</v>
      </c>
    </row>
    <row r="748" spans="1:2" x14ac:dyDescent="0.25">
      <c r="A748" t="s">
        <v>1637</v>
      </c>
      <c r="B748">
        <v>1</v>
      </c>
    </row>
    <row r="749" spans="1:2" x14ac:dyDescent="0.25">
      <c r="A749" t="s">
        <v>2032</v>
      </c>
      <c r="B749">
        <v>1</v>
      </c>
    </row>
    <row r="750" spans="1:2" x14ac:dyDescent="0.25">
      <c r="A750" t="s">
        <v>1631</v>
      </c>
      <c r="B750">
        <v>1</v>
      </c>
    </row>
    <row r="751" spans="1:2" x14ac:dyDescent="0.25">
      <c r="A751" t="s">
        <v>1690</v>
      </c>
      <c r="B751">
        <v>1</v>
      </c>
    </row>
    <row r="752" spans="1:2" x14ac:dyDescent="0.25">
      <c r="A752" t="s">
        <v>1793</v>
      </c>
      <c r="B752">
        <v>1</v>
      </c>
    </row>
    <row r="753" spans="1:2" x14ac:dyDescent="0.25">
      <c r="A753" t="s">
        <v>1999</v>
      </c>
      <c r="B753">
        <v>1</v>
      </c>
    </row>
    <row r="754" spans="1:2" x14ac:dyDescent="0.25">
      <c r="A754" t="s">
        <v>2009</v>
      </c>
      <c r="B754">
        <v>1</v>
      </c>
    </row>
    <row r="755" spans="1:2" x14ac:dyDescent="0.25">
      <c r="A755" t="s">
        <v>2100</v>
      </c>
      <c r="B755">
        <v>1</v>
      </c>
    </row>
    <row r="756" spans="1:2" x14ac:dyDescent="0.25">
      <c r="A756" t="s">
        <v>2040</v>
      </c>
      <c r="B756">
        <v>1</v>
      </c>
    </row>
    <row r="757" spans="1:2" x14ac:dyDescent="0.25">
      <c r="A757" t="s">
        <v>2046</v>
      </c>
      <c r="B757">
        <v>1</v>
      </c>
    </row>
    <row r="758" spans="1:2" x14ac:dyDescent="0.25">
      <c r="A758" t="s">
        <v>1677</v>
      </c>
      <c r="B758">
        <v>1</v>
      </c>
    </row>
    <row r="759" spans="1:2" x14ac:dyDescent="0.25">
      <c r="A759" t="s">
        <v>2081</v>
      </c>
      <c r="B759">
        <v>1</v>
      </c>
    </row>
    <row r="760" spans="1:2" x14ac:dyDescent="0.25">
      <c r="A760" t="s">
        <v>2014</v>
      </c>
      <c r="B760">
        <v>1</v>
      </c>
    </row>
    <row r="761" spans="1:2" x14ac:dyDescent="0.25">
      <c r="A761" t="s">
        <v>1701</v>
      </c>
      <c r="B761">
        <v>1</v>
      </c>
    </row>
    <row r="762" spans="1:2" x14ac:dyDescent="0.25">
      <c r="A762" t="s">
        <v>2080</v>
      </c>
      <c r="B762">
        <v>1</v>
      </c>
    </row>
    <row r="763" spans="1:2" x14ac:dyDescent="0.25">
      <c r="A763" t="s">
        <v>2004</v>
      </c>
      <c r="B763">
        <v>1</v>
      </c>
    </row>
    <row r="764" spans="1:2" x14ac:dyDescent="0.25">
      <c r="A764" t="s">
        <v>2005</v>
      </c>
      <c r="B764">
        <v>1</v>
      </c>
    </row>
    <row r="765" spans="1:2" x14ac:dyDescent="0.25">
      <c r="A765" t="s">
        <v>1835</v>
      </c>
      <c r="B765">
        <v>1</v>
      </c>
    </row>
    <row r="766" spans="1:2" x14ac:dyDescent="0.25">
      <c r="A766" t="s">
        <v>1745</v>
      </c>
      <c r="B766">
        <v>1</v>
      </c>
    </row>
    <row r="767" spans="1:2" x14ac:dyDescent="0.25">
      <c r="A767" t="s">
        <v>2086</v>
      </c>
      <c r="B767">
        <v>1</v>
      </c>
    </row>
    <row r="768" spans="1:2" x14ac:dyDescent="0.25">
      <c r="A768" t="s">
        <v>1587</v>
      </c>
      <c r="B768">
        <v>1</v>
      </c>
    </row>
    <row r="769" spans="1:2" x14ac:dyDescent="0.25">
      <c r="A769" t="s">
        <v>1590</v>
      </c>
      <c r="B769">
        <v>1</v>
      </c>
    </row>
    <row r="770" spans="1:2" x14ac:dyDescent="0.25">
      <c r="A770" t="s">
        <v>1598</v>
      </c>
      <c r="B770">
        <v>1</v>
      </c>
    </row>
    <row r="771" spans="1:2" x14ac:dyDescent="0.25">
      <c r="A771" t="s">
        <v>1602</v>
      </c>
      <c r="B771">
        <v>1</v>
      </c>
    </row>
    <row r="772" spans="1:2" x14ac:dyDescent="0.25">
      <c r="A772" t="s">
        <v>1607</v>
      </c>
      <c r="B772">
        <v>1</v>
      </c>
    </row>
    <row r="773" spans="1:2" x14ac:dyDescent="0.25">
      <c r="A773" t="s">
        <v>1612</v>
      </c>
      <c r="B773">
        <v>1</v>
      </c>
    </row>
    <row r="774" spans="1:2" x14ac:dyDescent="0.25">
      <c r="A774" t="s">
        <v>1618</v>
      </c>
      <c r="B774">
        <v>1</v>
      </c>
    </row>
    <row r="775" spans="1:2" x14ac:dyDescent="0.25">
      <c r="A775" t="s">
        <v>1623</v>
      </c>
      <c r="B775">
        <v>1</v>
      </c>
    </row>
    <row r="776" spans="1:2" x14ac:dyDescent="0.25">
      <c r="A776" t="s">
        <v>1633</v>
      </c>
      <c r="B776">
        <v>1</v>
      </c>
    </row>
    <row r="777" spans="1:2" x14ac:dyDescent="0.25">
      <c r="A777" t="s">
        <v>1641</v>
      </c>
      <c r="B777">
        <v>1</v>
      </c>
    </row>
    <row r="778" spans="1:2" x14ac:dyDescent="0.25">
      <c r="A778" t="s">
        <v>1644</v>
      </c>
      <c r="B778">
        <v>1</v>
      </c>
    </row>
    <row r="779" spans="1:2" x14ac:dyDescent="0.25">
      <c r="A779" t="s">
        <v>1647</v>
      </c>
      <c r="B779">
        <v>1</v>
      </c>
    </row>
    <row r="780" spans="1:2" x14ac:dyDescent="0.25">
      <c r="A780" t="s">
        <v>1650</v>
      </c>
      <c r="B780">
        <v>1</v>
      </c>
    </row>
    <row r="781" spans="1:2" x14ac:dyDescent="0.25">
      <c r="A781" t="s">
        <v>1682</v>
      </c>
      <c r="B781">
        <v>1</v>
      </c>
    </row>
    <row r="782" spans="1:2" x14ac:dyDescent="0.25">
      <c r="A782" t="s">
        <v>1738</v>
      </c>
      <c r="B782">
        <v>1</v>
      </c>
    </row>
    <row r="783" spans="1:2" x14ac:dyDescent="0.25">
      <c r="A783" t="s">
        <v>1756</v>
      </c>
      <c r="B783">
        <v>1</v>
      </c>
    </row>
    <row r="784" spans="1:2" x14ac:dyDescent="0.25">
      <c r="A784" t="s">
        <v>1758</v>
      </c>
      <c r="B784">
        <v>1</v>
      </c>
    </row>
    <row r="785" spans="1:2" x14ac:dyDescent="0.25">
      <c r="A785" t="s">
        <v>1771</v>
      </c>
      <c r="B785">
        <v>1</v>
      </c>
    </row>
    <row r="786" spans="1:2" x14ac:dyDescent="0.25">
      <c r="A786" t="s">
        <v>1776</v>
      </c>
      <c r="B786">
        <v>1</v>
      </c>
    </row>
    <row r="787" spans="1:2" x14ac:dyDescent="0.25">
      <c r="A787" t="s">
        <v>1779</v>
      </c>
      <c r="B787">
        <v>1</v>
      </c>
    </row>
    <row r="788" spans="1:2" x14ac:dyDescent="0.25">
      <c r="A788" t="s">
        <v>1807</v>
      </c>
      <c r="B788">
        <v>1</v>
      </c>
    </row>
    <row r="789" spans="1:2" x14ac:dyDescent="0.25">
      <c r="A789" t="s">
        <v>1812</v>
      </c>
      <c r="B789">
        <v>1</v>
      </c>
    </row>
    <row r="790" spans="1:2" x14ac:dyDescent="0.25">
      <c r="A790" t="s">
        <v>1846</v>
      </c>
      <c r="B790">
        <v>1</v>
      </c>
    </row>
    <row r="791" spans="1:2" x14ac:dyDescent="0.25">
      <c r="A791" t="s">
        <v>1862</v>
      </c>
      <c r="B791">
        <v>1</v>
      </c>
    </row>
    <row r="792" spans="1:2" x14ac:dyDescent="0.25">
      <c r="A792" t="s">
        <v>1872</v>
      </c>
      <c r="B792">
        <v>1</v>
      </c>
    </row>
    <row r="793" spans="1:2" x14ac:dyDescent="0.25">
      <c r="A793" t="s">
        <v>1877</v>
      </c>
      <c r="B793">
        <v>1</v>
      </c>
    </row>
    <row r="794" spans="1:2" x14ac:dyDescent="0.25">
      <c r="A794" t="s">
        <v>1884</v>
      </c>
      <c r="B794">
        <v>1</v>
      </c>
    </row>
    <row r="795" spans="1:2" x14ac:dyDescent="0.25">
      <c r="A795" t="s">
        <v>1888</v>
      </c>
      <c r="B795">
        <v>1</v>
      </c>
    </row>
    <row r="796" spans="1:2" x14ac:dyDescent="0.25">
      <c r="A796" t="s">
        <v>1940</v>
      </c>
      <c r="B796">
        <v>1</v>
      </c>
    </row>
    <row r="797" spans="1:2" x14ac:dyDescent="0.25">
      <c r="A797" t="s">
        <v>1955</v>
      </c>
      <c r="B797">
        <v>1</v>
      </c>
    </row>
    <row r="798" spans="1:2" x14ac:dyDescent="0.25">
      <c r="A798" t="s">
        <v>1959</v>
      </c>
      <c r="B798">
        <v>1</v>
      </c>
    </row>
    <row r="799" spans="1:2" x14ac:dyDescent="0.25">
      <c r="A799" t="s">
        <v>1966</v>
      </c>
      <c r="B799">
        <v>1</v>
      </c>
    </row>
    <row r="800" spans="1:2" x14ac:dyDescent="0.25">
      <c r="A800" t="s">
        <v>1970</v>
      </c>
      <c r="B800">
        <v>1</v>
      </c>
    </row>
    <row r="801" spans="1:2" x14ac:dyDescent="0.25">
      <c r="A801" t="s">
        <v>1972</v>
      </c>
      <c r="B801">
        <v>1</v>
      </c>
    </row>
    <row r="802" spans="1:2" x14ac:dyDescent="0.25">
      <c r="A802" t="s">
        <v>1974</v>
      </c>
      <c r="B802">
        <v>1</v>
      </c>
    </row>
    <row r="803" spans="1:2" x14ac:dyDescent="0.25">
      <c r="A803" t="s">
        <v>1977</v>
      </c>
      <c r="B803">
        <v>1</v>
      </c>
    </row>
    <row r="804" spans="1:2" x14ac:dyDescent="0.25">
      <c r="A804" t="s">
        <v>1979</v>
      </c>
      <c r="B804">
        <v>1</v>
      </c>
    </row>
    <row r="805" spans="1:2" x14ac:dyDescent="0.25">
      <c r="A805" t="s">
        <v>1982</v>
      </c>
      <c r="B805">
        <v>1</v>
      </c>
    </row>
    <row r="806" spans="1:2" x14ac:dyDescent="0.25">
      <c r="A806" t="s">
        <v>2012</v>
      </c>
      <c r="B806">
        <v>1</v>
      </c>
    </row>
    <row r="807" spans="1:2" x14ac:dyDescent="0.25">
      <c r="A807" t="s">
        <v>2024</v>
      </c>
      <c r="B807">
        <v>1</v>
      </c>
    </row>
    <row r="808" spans="1:2" x14ac:dyDescent="0.25">
      <c r="A808" t="s">
        <v>2039</v>
      </c>
      <c r="B808">
        <v>1</v>
      </c>
    </row>
    <row r="809" spans="1:2" x14ac:dyDescent="0.25">
      <c r="A809" t="s">
        <v>2041</v>
      </c>
      <c r="B809">
        <v>1</v>
      </c>
    </row>
    <row r="810" spans="1:2" x14ac:dyDescent="0.25">
      <c r="A810" t="s">
        <v>2047</v>
      </c>
      <c r="B810">
        <v>1</v>
      </c>
    </row>
    <row r="811" spans="1:2" x14ac:dyDescent="0.25">
      <c r="A811" t="s">
        <v>2055</v>
      </c>
      <c r="B811">
        <v>1</v>
      </c>
    </row>
    <row r="812" spans="1:2" x14ac:dyDescent="0.25">
      <c r="A812" t="s">
        <v>2057</v>
      </c>
      <c r="B812">
        <v>1</v>
      </c>
    </row>
    <row r="813" spans="1:2" x14ac:dyDescent="0.25">
      <c r="A813" t="s">
        <v>2066</v>
      </c>
      <c r="B813">
        <v>1</v>
      </c>
    </row>
    <row r="814" spans="1:2" x14ac:dyDescent="0.25">
      <c r="A814" t="s">
        <v>2068</v>
      </c>
      <c r="B814">
        <v>1</v>
      </c>
    </row>
    <row r="815" spans="1:2" x14ac:dyDescent="0.25">
      <c r="A815" t="s">
        <v>2071</v>
      </c>
      <c r="B815">
        <v>1</v>
      </c>
    </row>
    <row r="816" spans="1:2" x14ac:dyDescent="0.25">
      <c r="A816" t="s">
        <v>2074</v>
      </c>
      <c r="B816">
        <v>1</v>
      </c>
    </row>
    <row r="817" spans="1:2" x14ac:dyDescent="0.25">
      <c r="A817" t="s">
        <v>2078</v>
      </c>
      <c r="B817">
        <v>1</v>
      </c>
    </row>
    <row r="818" spans="1:2" x14ac:dyDescent="0.25">
      <c r="A818" t="s">
        <v>2089</v>
      </c>
      <c r="B818">
        <v>1</v>
      </c>
    </row>
    <row r="819" spans="1:2" x14ac:dyDescent="0.25">
      <c r="A819" t="s">
        <v>2092</v>
      </c>
      <c r="B819">
        <v>1</v>
      </c>
    </row>
    <row r="820" spans="1:2" x14ac:dyDescent="0.25">
      <c r="A820" t="s">
        <v>2104</v>
      </c>
      <c r="B820">
        <v>1</v>
      </c>
    </row>
    <row r="821" spans="1:2" x14ac:dyDescent="0.25">
      <c r="A821" t="s">
        <v>2120</v>
      </c>
      <c r="B821">
        <v>1</v>
      </c>
    </row>
    <row r="822" spans="1:2" x14ac:dyDescent="0.25">
      <c r="A822" t="s">
        <v>2123</v>
      </c>
      <c r="B822">
        <v>1</v>
      </c>
    </row>
    <row r="823" spans="1:2" x14ac:dyDescent="0.25">
      <c r="A823" t="s">
        <v>1933</v>
      </c>
      <c r="B823">
        <v>1</v>
      </c>
    </row>
    <row r="824" spans="1:2" x14ac:dyDescent="0.25">
      <c r="A824" t="s">
        <v>1770</v>
      </c>
      <c r="B824">
        <v>1</v>
      </c>
    </row>
    <row r="825" spans="1:2" x14ac:dyDescent="0.25">
      <c r="A825" t="s">
        <v>1775</v>
      </c>
      <c r="B825">
        <v>1</v>
      </c>
    </row>
    <row r="826" spans="1:2" x14ac:dyDescent="0.25">
      <c r="A826" t="s">
        <v>1833</v>
      </c>
      <c r="B826">
        <v>1</v>
      </c>
    </row>
    <row r="827" spans="1:2" x14ac:dyDescent="0.25">
      <c r="A827" t="s">
        <v>1914</v>
      </c>
      <c r="B827">
        <v>1</v>
      </c>
    </row>
    <row r="828" spans="1:2" x14ac:dyDescent="0.25">
      <c r="A828" t="s">
        <v>1918</v>
      </c>
      <c r="B828">
        <v>1</v>
      </c>
    </row>
    <row r="829" spans="1:2" x14ac:dyDescent="0.25">
      <c r="A829" t="s">
        <v>1937</v>
      </c>
      <c r="B829">
        <v>1</v>
      </c>
    </row>
    <row r="830" spans="1:2" x14ac:dyDescent="0.25">
      <c r="A830" t="s">
        <v>1705</v>
      </c>
      <c r="B830">
        <v>1</v>
      </c>
    </row>
    <row r="831" spans="1:2" x14ac:dyDescent="0.25">
      <c r="A831" t="s">
        <v>1743</v>
      </c>
      <c r="B831">
        <v>1</v>
      </c>
    </row>
    <row r="832" spans="1:2" x14ac:dyDescent="0.25">
      <c r="A832" t="s">
        <v>1772</v>
      </c>
      <c r="B832">
        <v>1</v>
      </c>
    </row>
    <row r="833" spans="1:2" x14ac:dyDescent="0.25">
      <c r="A833" t="s">
        <v>1777</v>
      </c>
      <c r="B833">
        <v>1</v>
      </c>
    </row>
    <row r="834" spans="1:2" x14ac:dyDescent="0.25">
      <c r="A834" t="s">
        <v>1832</v>
      </c>
      <c r="B834">
        <v>1</v>
      </c>
    </row>
    <row r="835" spans="1:2" x14ac:dyDescent="0.25">
      <c r="A835" t="s">
        <v>1913</v>
      </c>
      <c r="B835">
        <v>1</v>
      </c>
    </row>
    <row r="836" spans="1:2" x14ac:dyDescent="0.25">
      <c r="A836" t="s">
        <v>1917</v>
      </c>
      <c r="B836">
        <v>1</v>
      </c>
    </row>
    <row r="837" spans="1:2" x14ac:dyDescent="0.25">
      <c r="A837" t="s">
        <v>1936</v>
      </c>
      <c r="B837">
        <v>1</v>
      </c>
    </row>
    <row r="838" spans="1:2" x14ac:dyDescent="0.25">
      <c r="A838" t="s">
        <v>2052</v>
      </c>
      <c r="B838">
        <v>1</v>
      </c>
    </row>
    <row r="839" spans="1:2" x14ac:dyDescent="0.25">
      <c r="A839" t="s">
        <v>1731</v>
      </c>
      <c r="B839">
        <v>1</v>
      </c>
    </row>
    <row r="840" spans="1:2" x14ac:dyDescent="0.25">
      <c r="A840" t="s">
        <v>1897</v>
      </c>
      <c r="B840">
        <v>1</v>
      </c>
    </row>
    <row r="841" spans="1:2" x14ac:dyDescent="0.25">
      <c r="A841" t="s">
        <v>1895</v>
      </c>
      <c r="B841">
        <v>1</v>
      </c>
    </row>
    <row r="842" spans="1:2" x14ac:dyDescent="0.25">
      <c r="A842" t="s">
        <v>1763</v>
      </c>
      <c r="B842">
        <v>1</v>
      </c>
    </row>
    <row r="843" spans="1:2" x14ac:dyDescent="0.25">
      <c r="A843" t="s">
        <v>2056</v>
      </c>
      <c r="B843">
        <v>1</v>
      </c>
    </row>
    <row r="844" spans="1:2" x14ac:dyDescent="0.25">
      <c r="A844" t="s">
        <v>1760</v>
      </c>
      <c r="B844">
        <v>1</v>
      </c>
    </row>
    <row r="845" spans="1:2" x14ac:dyDescent="0.25">
      <c r="A845" t="s">
        <v>1762</v>
      </c>
      <c r="B845">
        <v>1</v>
      </c>
    </row>
    <row r="846" spans="1:2" x14ac:dyDescent="0.25">
      <c r="A846" t="s">
        <v>2054</v>
      </c>
      <c r="B846">
        <v>1</v>
      </c>
    </row>
    <row r="847" spans="1:2" x14ac:dyDescent="0.25">
      <c r="A847" t="s">
        <v>1931</v>
      </c>
      <c r="B847">
        <v>1</v>
      </c>
    </row>
    <row r="848" spans="1:2" x14ac:dyDescent="0.25">
      <c r="A848" t="s">
        <v>1893</v>
      </c>
      <c r="B848">
        <v>1</v>
      </c>
    </row>
    <row r="849" spans="1:2" x14ac:dyDescent="0.25">
      <c r="A849" t="s">
        <v>1830</v>
      </c>
      <c r="B849">
        <v>1</v>
      </c>
    </row>
    <row r="850" spans="1:2" x14ac:dyDescent="0.25">
      <c r="A850" t="s">
        <v>1741</v>
      </c>
      <c r="B850">
        <v>1</v>
      </c>
    </row>
    <row r="851" spans="1:2" x14ac:dyDescent="0.25">
      <c r="A851" t="s">
        <v>1780</v>
      </c>
      <c r="B851">
        <v>1</v>
      </c>
    </row>
    <row r="852" spans="1:2" x14ac:dyDescent="0.25">
      <c r="A852" t="s">
        <v>1784</v>
      </c>
      <c r="B852">
        <v>1</v>
      </c>
    </row>
    <row r="853" spans="1:2" x14ac:dyDescent="0.25">
      <c r="A853" t="s">
        <v>2129</v>
      </c>
      <c r="B853">
        <v>1</v>
      </c>
    </row>
    <row r="854" spans="1:2" x14ac:dyDescent="0.25">
      <c r="A854" t="s">
        <v>2128</v>
      </c>
      <c r="B854">
        <v>1</v>
      </c>
    </row>
    <row r="855" spans="1:2" x14ac:dyDescent="0.25">
      <c r="A855" t="s">
        <v>1839</v>
      </c>
      <c r="B855">
        <v>1</v>
      </c>
    </row>
    <row r="856" spans="1:2" x14ac:dyDescent="0.25">
      <c r="A856" t="s">
        <v>2050</v>
      </c>
      <c r="B856">
        <v>1</v>
      </c>
    </row>
    <row r="857" spans="1:2" x14ac:dyDescent="0.25">
      <c r="A857" t="s">
        <v>1898</v>
      </c>
      <c r="B857">
        <v>1</v>
      </c>
    </row>
    <row r="858" spans="1:2" x14ac:dyDescent="0.25">
      <c r="A858" t="s">
        <v>1892</v>
      </c>
      <c r="B858">
        <v>1</v>
      </c>
    </row>
    <row r="859" spans="1:2" x14ac:dyDescent="0.25">
      <c r="A859" t="s">
        <v>1896</v>
      </c>
      <c r="B859">
        <v>1</v>
      </c>
    </row>
    <row r="860" spans="1:2" x14ac:dyDescent="0.25">
      <c r="A860" t="s">
        <v>1629</v>
      </c>
      <c r="B860">
        <v>1</v>
      </c>
    </row>
    <row r="861" spans="1:2" x14ac:dyDescent="0.25">
      <c r="A861" t="s">
        <v>1831</v>
      </c>
      <c r="B861">
        <v>1</v>
      </c>
    </row>
    <row r="862" spans="1:2" x14ac:dyDescent="0.25">
      <c r="A862" t="s">
        <v>1882</v>
      </c>
      <c r="B862">
        <v>1</v>
      </c>
    </row>
    <row r="863" spans="1:2" x14ac:dyDescent="0.25">
      <c r="A863" t="s">
        <v>1886</v>
      </c>
      <c r="B863">
        <v>1</v>
      </c>
    </row>
    <row r="864" spans="1:2" x14ac:dyDescent="0.25">
      <c r="A864" t="s">
        <v>1984</v>
      </c>
      <c r="B864">
        <v>1</v>
      </c>
    </row>
    <row r="865" spans="1:2" x14ac:dyDescent="0.25">
      <c r="A865" t="s">
        <v>2002</v>
      </c>
      <c r="B865">
        <v>1</v>
      </c>
    </row>
    <row r="866" spans="1:2" x14ac:dyDescent="0.25">
      <c r="A866" t="s">
        <v>2021</v>
      </c>
      <c r="B866">
        <v>1</v>
      </c>
    </row>
    <row r="867" spans="1:2" x14ac:dyDescent="0.25">
      <c r="A867" t="s">
        <v>2023</v>
      </c>
      <c r="B867">
        <v>1</v>
      </c>
    </row>
    <row r="868" spans="1:2" x14ac:dyDescent="0.25">
      <c r="A868" t="s">
        <v>1778</v>
      </c>
      <c r="B868">
        <v>1</v>
      </c>
    </row>
    <row r="869" spans="1:2" x14ac:dyDescent="0.25">
      <c r="A869" t="s">
        <v>1929</v>
      </c>
      <c r="B869">
        <v>1</v>
      </c>
    </row>
    <row r="870" spans="1:2" x14ac:dyDescent="0.25">
      <c r="A870" t="s">
        <v>1773</v>
      </c>
      <c r="B870">
        <v>1</v>
      </c>
    </row>
    <row r="871" spans="1:2" x14ac:dyDescent="0.25">
      <c r="A871" t="s">
        <v>1971</v>
      </c>
      <c r="B871">
        <v>1</v>
      </c>
    </row>
    <row r="872" spans="1:2" x14ac:dyDescent="0.25">
      <c r="A872" t="s">
        <v>1912</v>
      </c>
      <c r="B872">
        <v>1</v>
      </c>
    </row>
    <row r="873" spans="1:2" x14ac:dyDescent="0.25">
      <c r="A873" t="s">
        <v>1916</v>
      </c>
      <c r="B873">
        <v>1</v>
      </c>
    </row>
    <row r="874" spans="1:2" x14ac:dyDescent="0.25">
      <c r="A874" t="s">
        <v>1615</v>
      </c>
      <c r="B874">
        <v>1</v>
      </c>
    </row>
    <row r="875" spans="1:2" x14ac:dyDescent="0.25">
      <c r="A875" t="s">
        <v>1700</v>
      </c>
      <c r="B875">
        <v>1</v>
      </c>
    </row>
    <row r="876" spans="1:2" x14ac:dyDescent="0.25">
      <c r="A876" t="s">
        <v>1935</v>
      </c>
      <c r="B876">
        <v>1</v>
      </c>
    </row>
    <row r="877" spans="1:2" x14ac:dyDescent="0.25">
      <c r="A877" t="s">
        <v>1852</v>
      </c>
      <c r="B877">
        <v>1</v>
      </c>
    </row>
    <row r="878" spans="1:2" x14ac:dyDescent="0.25">
      <c r="A878" t="s">
        <v>1582</v>
      </c>
      <c r="B878">
        <v>1</v>
      </c>
    </row>
    <row r="879" spans="1:2" x14ac:dyDescent="0.25">
      <c r="A879" t="s">
        <v>1630</v>
      </c>
      <c r="B879">
        <v>1</v>
      </c>
    </row>
    <row r="880" spans="1:2" x14ac:dyDescent="0.25">
      <c r="A880" t="s">
        <v>1714</v>
      </c>
      <c r="B880">
        <v>1</v>
      </c>
    </row>
    <row r="881" spans="1:2" x14ac:dyDescent="0.25">
      <c r="A881" t="s">
        <v>1718</v>
      </c>
      <c r="B881">
        <v>1</v>
      </c>
    </row>
    <row r="882" spans="1:2" x14ac:dyDescent="0.25">
      <c r="A882" t="s">
        <v>1844</v>
      </c>
      <c r="B882">
        <v>1</v>
      </c>
    </row>
    <row r="883" spans="1:2" x14ac:dyDescent="0.25">
      <c r="A883" t="s">
        <v>1858</v>
      </c>
      <c r="B883">
        <v>1</v>
      </c>
    </row>
    <row r="884" spans="1:2" x14ac:dyDescent="0.25">
      <c r="A884" t="s">
        <v>1860</v>
      </c>
      <c r="B884">
        <v>1</v>
      </c>
    </row>
    <row r="885" spans="1:2" x14ac:dyDescent="0.25">
      <c r="A885" t="s">
        <v>1873</v>
      </c>
      <c r="B885">
        <v>1</v>
      </c>
    </row>
    <row r="886" spans="1:2" x14ac:dyDescent="0.25">
      <c r="A886" t="s">
        <v>1854</v>
      </c>
      <c r="B886">
        <v>1</v>
      </c>
    </row>
    <row r="887" spans="1:2" x14ac:dyDescent="0.25">
      <c r="A887" t="s">
        <v>1850</v>
      </c>
      <c r="B887">
        <v>1</v>
      </c>
    </row>
    <row r="888" spans="1:2" x14ac:dyDescent="0.25">
      <c r="A888" t="s">
        <v>1735</v>
      </c>
      <c r="B888">
        <v>1</v>
      </c>
    </row>
    <row r="889" spans="1:2" x14ac:dyDescent="0.25">
      <c r="A889" t="s">
        <v>1825</v>
      </c>
      <c r="B889">
        <v>1</v>
      </c>
    </row>
    <row r="890" spans="1:2" x14ac:dyDescent="0.25">
      <c r="A890" t="s">
        <v>1847</v>
      </c>
      <c r="B890">
        <v>1</v>
      </c>
    </row>
    <row r="891" spans="1:2" x14ac:dyDescent="0.25">
      <c r="A891" t="s">
        <v>1863</v>
      </c>
      <c r="B891">
        <v>1</v>
      </c>
    </row>
    <row r="892" spans="1:2" x14ac:dyDescent="0.25">
      <c r="A892" t="s">
        <v>1992</v>
      </c>
      <c r="B892">
        <v>1</v>
      </c>
    </row>
    <row r="893" spans="1:2" x14ac:dyDescent="0.25">
      <c r="A893" t="s">
        <v>2038</v>
      </c>
      <c r="B893">
        <v>1</v>
      </c>
    </row>
    <row r="894" spans="1:2" x14ac:dyDescent="0.25">
      <c r="A894" t="s">
        <v>2042</v>
      </c>
      <c r="B894">
        <v>1</v>
      </c>
    </row>
    <row r="895" spans="1:2" x14ac:dyDescent="0.25">
      <c r="A895" t="s">
        <v>2048</v>
      </c>
      <c r="B895">
        <v>1</v>
      </c>
    </row>
    <row r="896" spans="1:2" x14ac:dyDescent="0.25">
      <c r="A896" t="s">
        <v>1829</v>
      </c>
      <c r="B896">
        <v>1</v>
      </c>
    </row>
    <row r="897" spans="1:2" x14ac:dyDescent="0.25">
      <c r="A897" t="s">
        <v>1649</v>
      </c>
      <c r="B897">
        <v>1</v>
      </c>
    </row>
    <row r="898" spans="1:2" x14ac:dyDescent="0.25">
      <c r="A898" t="s">
        <v>1648</v>
      </c>
      <c r="B898">
        <v>1</v>
      </c>
    </row>
    <row r="899" spans="1:2" x14ac:dyDescent="0.25">
      <c r="A899" t="s">
        <v>1883</v>
      </c>
      <c r="B899">
        <v>1</v>
      </c>
    </row>
    <row r="900" spans="1:2" x14ac:dyDescent="0.25">
      <c r="A900" t="s">
        <v>1887</v>
      </c>
      <c r="B900">
        <v>1</v>
      </c>
    </row>
    <row r="901" spans="1:2" x14ac:dyDescent="0.25">
      <c r="A901" t="s">
        <v>1890</v>
      </c>
      <c r="B901">
        <v>1</v>
      </c>
    </row>
    <row r="902" spans="1:2" x14ac:dyDescent="0.25">
      <c r="A902" t="s">
        <v>2011</v>
      </c>
      <c r="B902">
        <v>1</v>
      </c>
    </row>
    <row r="903" spans="1:2" x14ac:dyDescent="0.25">
      <c r="A903" t="s">
        <v>1583</v>
      </c>
      <c r="B903">
        <v>1</v>
      </c>
    </row>
    <row r="904" spans="1:2" x14ac:dyDescent="0.25">
      <c r="A904" t="s">
        <v>1715</v>
      </c>
      <c r="B904">
        <v>1</v>
      </c>
    </row>
    <row r="905" spans="1:2" x14ac:dyDescent="0.25">
      <c r="A905" t="s">
        <v>1719</v>
      </c>
      <c r="B905">
        <v>1</v>
      </c>
    </row>
    <row r="906" spans="1:2" x14ac:dyDescent="0.25">
      <c r="A906" t="s">
        <v>1824</v>
      </c>
      <c r="B906">
        <v>1</v>
      </c>
    </row>
    <row r="907" spans="1:2" x14ac:dyDescent="0.25">
      <c r="A907" t="s">
        <v>1845</v>
      </c>
      <c r="B907">
        <v>1</v>
      </c>
    </row>
    <row r="908" spans="1:2" x14ac:dyDescent="0.25">
      <c r="A908" t="s">
        <v>1851</v>
      </c>
      <c r="B908">
        <v>1</v>
      </c>
    </row>
    <row r="909" spans="1:2" x14ac:dyDescent="0.25">
      <c r="A909" t="s">
        <v>1853</v>
      </c>
      <c r="B909">
        <v>1</v>
      </c>
    </row>
    <row r="910" spans="1:2" x14ac:dyDescent="0.25">
      <c r="A910" t="s">
        <v>1861</v>
      </c>
      <c r="B910">
        <v>1</v>
      </c>
    </row>
    <row r="911" spans="1:2" x14ac:dyDescent="0.25">
      <c r="A911" t="s">
        <v>1855</v>
      </c>
      <c r="B911">
        <v>1</v>
      </c>
    </row>
    <row r="912" spans="1:2" x14ac:dyDescent="0.25">
      <c r="A912" t="s">
        <v>1874</v>
      </c>
      <c r="B912">
        <v>1</v>
      </c>
    </row>
    <row r="913" spans="1:2" x14ac:dyDescent="0.25">
      <c r="A913" t="s">
        <v>1939</v>
      </c>
      <c r="B913">
        <v>1</v>
      </c>
    </row>
    <row r="914" spans="1:2" x14ac:dyDescent="0.25">
      <c r="A914" t="s">
        <v>1945</v>
      </c>
      <c r="B914">
        <v>1</v>
      </c>
    </row>
    <row r="915" spans="1:2" x14ac:dyDescent="0.25">
      <c r="A915" t="s">
        <v>1732</v>
      </c>
      <c r="B915">
        <v>1</v>
      </c>
    </row>
    <row r="916" spans="1:2" x14ac:dyDescent="0.25">
      <c r="A916" t="s">
        <v>1960</v>
      </c>
      <c r="B916">
        <v>1</v>
      </c>
    </row>
    <row r="917" spans="1:2" x14ac:dyDescent="0.25">
      <c r="A917" t="s">
        <v>2121</v>
      </c>
      <c r="B917">
        <v>1</v>
      </c>
    </row>
    <row r="918" spans="1:2" x14ac:dyDescent="0.25">
      <c r="A918" t="s">
        <v>2127</v>
      </c>
      <c r="B918">
        <v>1</v>
      </c>
    </row>
    <row r="919" spans="1:2" x14ac:dyDescent="0.25">
      <c r="A919" t="s">
        <v>1640</v>
      </c>
      <c r="B919">
        <v>1</v>
      </c>
    </row>
    <row r="920" spans="1:2" x14ac:dyDescent="0.25">
      <c r="A920" t="s">
        <v>2119</v>
      </c>
      <c r="B920">
        <v>1</v>
      </c>
    </row>
    <row r="921" spans="1:2" x14ac:dyDescent="0.25">
      <c r="A921" t="s">
        <v>2122</v>
      </c>
      <c r="B921">
        <v>1</v>
      </c>
    </row>
    <row r="922" spans="1:2" x14ac:dyDescent="0.25">
      <c r="A922" t="s">
        <v>2126</v>
      </c>
      <c r="B922">
        <v>1</v>
      </c>
    </row>
    <row r="923" spans="1:2" x14ac:dyDescent="0.25">
      <c r="A923" t="s">
        <v>1961</v>
      </c>
      <c r="B923">
        <v>1</v>
      </c>
    </row>
    <row r="924" spans="1:2" x14ac:dyDescent="0.25">
      <c r="A924" t="s">
        <v>1876</v>
      </c>
      <c r="B924">
        <v>1</v>
      </c>
    </row>
    <row r="925" spans="1:2" x14ac:dyDescent="0.25">
      <c r="A925" t="s">
        <v>1973</v>
      </c>
      <c r="B925">
        <v>1</v>
      </c>
    </row>
    <row r="926" spans="1:2" x14ac:dyDescent="0.25">
      <c r="A926" t="s">
        <v>1981</v>
      </c>
      <c r="B926">
        <v>1</v>
      </c>
    </row>
    <row r="927" spans="1:2" x14ac:dyDescent="0.25">
      <c r="A927" t="s">
        <v>1597</v>
      </c>
      <c r="B927">
        <v>1</v>
      </c>
    </row>
    <row r="928" spans="1:2" x14ac:dyDescent="0.25">
      <c r="A928" t="s">
        <v>1601</v>
      </c>
      <c r="B928">
        <v>1</v>
      </c>
    </row>
    <row r="929" spans="1:2" x14ac:dyDescent="0.25">
      <c r="A929" t="s">
        <v>1622</v>
      </c>
      <c r="B929">
        <v>1</v>
      </c>
    </row>
    <row r="930" spans="1:2" x14ac:dyDescent="0.25">
      <c r="A930" t="s">
        <v>1651</v>
      </c>
      <c r="B930">
        <v>1</v>
      </c>
    </row>
    <row r="931" spans="1:2" x14ac:dyDescent="0.25">
      <c r="A931" t="s">
        <v>2112</v>
      </c>
      <c r="B931">
        <v>1</v>
      </c>
    </row>
    <row r="932" spans="1:2" x14ac:dyDescent="0.25">
      <c r="A932" t="s">
        <v>1665</v>
      </c>
      <c r="B932">
        <v>1</v>
      </c>
    </row>
    <row r="933" spans="1:2" x14ac:dyDescent="0.25">
      <c r="A933" t="s">
        <v>2114</v>
      </c>
      <c r="B933">
        <v>1</v>
      </c>
    </row>
    <row r="934" spans="1:2" x14ac:dyDescent="0.25">
      <c r="A934" t="s">
        <v>1683</v>
      </c>
      <c r="B934">
        <v>1</v>
      </c>
    </row>
    <row r="935" spans="1:2" x14ac:dyDescent="0.25">
      <c r="A935" t="s">
        <v>2115</v>
      </c>
      <c r="B935">
        <v>1</v>
      </c>
    </row>
    <row r="936" spans="1:2" x14ac:dyDescent="0.25">
      <c r="A936" t="s">
        <v>1704</v>
      </c>
      <c r="B936">
        <v>1</v>
      </c>
    </row>
    <row r="937" spans="1:2" x14ac:dyDescent="0.25">
      <c r="A937" t="s">
        <v>2106</v>
      </c>
      <c r="B937">
        <v>1</v>
      </c>
    </row>
    <row r="938" spans="1:2" x14ac:dyDescent="0.25">
      <c r="A938" t="s">
        <v>1823</v>
      </c>
      <c r="B938">
        <v>1</v>
      </c>
    </row>
    <row r="939" spans="1:2" x14ac:dyDescent="0.25">
      <c r="A939" t="s">
        <v>2118</v>
      </c>
      <c r="B939">
        <v>1</v>
      </c>
    </row>
    <row r="940" spans="1:2" x14ac:dyDescent="0.25">
      <c r="A940" t="s">
        <v>1730</v>
      </c>
      <c r="B940">
        <v>1</v>
      </c>
    </row>
    <row r="941" spans="1:2" x14ac:dyDescent="0.25">
      <c r="A941" t="s">
        <v>2111</v>
      </c>
      <c r="B941">
        <v>1</v>
      </c>
    </row>
    <row r="942" spans="1:2" x14ac:dyDescent="0.25">
      <c r="A942" t="s">
        <v>2110</v>
      </c>
      <c r="B942">
        <v>1</v>
      </c>
    </row>
    <row r="943" spans="1:2" x14ac:dyDescent="0.25">
      <c r="A943" t="s">
        <v>1595</v>
      </c>
      <c r="B943">
        <v>1</v>
      </c>
    </row>
    <row r="944" spans="1:2" x14ac:dyDescent="0.25">
      <c r="A944" t="s">
        <v>1749</v>
      </c>
      <c r="B944">
        <v>1</v>
      </c>
    </row>
    <row r="945" spans="1:2" x14ac:dyDescent="0.25">
      <c r="A945" t="s">
        <v>2105</v>
      </c>
      <c r="B945">
        <v>1</v>
      </c>
    </row>
    <row r="946" spans="1:2" x14ac:dyDescent="0.25">
      <c r="A946" t="s">
        <v>1834</v>
      </c>
      <c r="B946">
        <v>1</v>
      </c>
    </row>
    <row r="947" spans="1:2" x14ac:dyDescent="0.25">
      <c r="A947" t="s">
        <v>2117</v>
      </c>
      <c r="B947">
        <v>1</v>
      </c>
    </row>
    <row r="948" spans="1:2" x14ac:dyDescent="0.25">
      <c r="A948" t="s">
        <v>1837</v>
      </c>
      <c r="B948">
        <v>1</v>
      </c>
    </row>
    <row r="949" spans="1:2" x14ac:dyDescent="0.25">
      <c r="A949" t="s">
        <v>2107</v>
      </c>
      <c r="B949">
        <v>1</v>
      </c>
    </row>
    <row r="950" spans="1:2" x14ac:dyDescent="0.25">
      <c r="A950" t="s">
        <v>1838</v>
      </c>
      <c r="B950">
        <v>1</v>
      </c>
    </row>
    <row r="951" spans="1:2" x14ac:dyDescent="0.25">
      <c r="A951" t="s">
        <v>2109</v>
      </c>
      <c r="B951">
        <v>1</v>
      </c>
    </row>
    <row r="952" spans="1:2" x14ac:dyDescent="0.25">
      <c r="A952" t="s">
        <v>1870</v>
      </c>
      <c r="B952">
        <v>1</v>
      </c>
    </row>
    <row r="953" spans="1:2" x14ac:dyDescent="0.25">
      <c r="A953" t="s">
        <v>2113</v>
      </c>
      <c r="B953">
        <v>1</v>
      </c>
    </row>
    <row r="954" spans="1:2" x14ac:dyDescent="0.25">
      <c r="A954" t="s">
        <v>1871</v>
      </c>
      <c r="B954">
        <v>1</v>
      </c>
    </row>
    <row r="955" spans="1:2" x14ac:dyDescent="0.25">
      <c r="A955" t="s">
        <v>2116</v>
      </c>
      <c r="B955">
        <v>1</v>
      </c>
    </row>
    <row r="956" spans="1:2" x14ac:dyDescent="0.25">
      <c r="A956" t="s">
        <v>2060</v>
      </c>
      <c r="B956">
        <v>1</v>
      </c>
    </row>
    <row r="957" spans="1:2" x14ac:dyDescent="0.25">
      <c r="A957" t="s">
        <v>2108</v>
      </c>
      <c r="B957">
        <v>1</v>
      </c>
    </row>
    <row r="958" spans="1:2" x14ac:dyDescent="0.25">
      <c r="A958" t="s">
        <v>1734</v>
      </c>
      <c r="B958">
        <v>1</v>
      </c>
    </row>
    <row r="959" spans="1:2" x14ac:dyDescent="0.25">
      <c r="A959" t="s">
        <v>2061</v>
      </c>
      <c r="B959">
        <v>1</v>
      </c>
    </row>
    <row r="960" spans="1:2" x14ac:dyDescent="0.25">
      <c r="A960" t="s">
        <v>1706</v>
      </c>
      <c r="B960">
        <v>1</v>
      </c>
    </row>
    <row r="961" spans="1:2" x14ac:dyDescent="0.25">
      <c r="A961" t="s">
        <v>1711</v>
      </c>
      <c r="B961">
        <v>1</v>
      </c>
    </row>
    <row r="962" spans="1:2" x14ac:dyDescent="0.25">
      <c r="A962" t="s">
        <v>1810</v>
      </c>
      <c r="B962">
        <v>1</v>
      </c>
    </row>
    <row r="963" spans="1:2" x14ac:dyDescent="0.25">
      <c r="A963" t="s">
        <v>1579</v>
      </c>
      <c r="B963">
        <v>1</v>
      </c>
    </row>
    <row r="964" spans="1:2" x14ac:dyDescent="0.25">
      <c r="A964" t="s">
        <v>1805</v>
      </c>
      <c r="B964">
        <v>1</v>
      </c>
    </row>
    <row r="965" spans="1:2" x14ac:dyDescent="0.25">
      <c r="A965" t="s">
        <v>1713</v>
      </c>
      <c r="B965">
        <v>1</v>
      </c>
    </row>
    <row r="966" spans="1:2" x14ac:dyDescent="0.25">
      <c r="A966" t="s">
        <v>1717</v>
      </c>
      <c r="B966">
        <v>1</v>
      </c>
    </row>
    <row r="967" spans="1:2" x14ac:dyDescent="0.25">
      <c r="A967" t="s">
        <v>1581</v>
      </c>
      <c r="B967">
        <v>1</v>
      </c>
    </row>
    <row r="968" spans="1:2" x14ac:dyDescent="0.25">
      <c r="A968" t="s">
        <v>1843</v>
      </c>
      <c r="B968">
        <v>1</v>
      </c>
    </row>
    <row r="969" spans="1:2" x14ac:dyDescent="0.25">
      <c r="A969" t="s">
        <v>1880</v>
      </c>
      <c r="B969">
        <v>1</v>
      </c>
    </row>
    <row r="970" spans="1:2" x14ac:dyDescent="0.25">
      <c r="A970" t="s">
        <v>2003</v>
      </c>
      <c r="B970">
        <v>1</v>
      </c>
    </row>
    <row r="971" spans="1:2" x14ac:dyDescent="0.25">
      <c r="A971" t="s">
        <v>1642</v>
      </c>
      <c r="B971">
        <v>1</v>
      </c>
    </row>
    <row r="972" spans="1:2" x14ac:dyDescent="0.25">
      <c r="A972" t="s">
        <v>1645</v>
      </c>
      <c r="B972">
        <v>1</v>
      </c>
    </row>
    <row r="973" spans="1:2" x14ac:dyDescent="0.25">
      <c r="A973" t="s">
        <v>2073</v>
      </c>
      <c r="B973">
        <v>1</v>
      </c>
    </row>
    <row r="974" spans="1:2" x14ac:dyDescent="0.25">
      <c r="A974" t="s">
        <v>2076</v>
      </c>
      <c r="B974">
        <v>1</v>
      </c>
    </row>
    <row r="975" spans="1:2" x14ac:dyDescent="0.25">
      <c r="A975" t="s">
        <v>2102</v>
      </c>
      <c r="B975">
        <v>1</v>
      </c>
    </row>
    <row r="976" spans="1:2" x14ac:dyDescent="0.25">
      <c r="A976" t="s">
        <v>1580</v>
      </c>
      <c r="B976">
        <v>1</v>
      </c>
    </row>
    <row r="977" spans="1:2" x14ac:dyDescent="0.25">
      <c r="A977" t="s">
        <v>1712</v>
      </c>
      <c r="B977">
        <v>1</v>
      </c>
    </row>
    <row r="978" spans="1:2" x14ac:dyDescent="0.25">
      <c r="A978" t="s">
        <v>1737</v>
      </c>
      <c r="B978">
        <v>1</v>
      </c>
    </row>
    <row r="979" spans="1:2" x14ac:dyDescent="0.25">
      <c r="A979" t="s">
        <v>1742</v>
      </c>
      <c r="B979">
        <v>1</v>
      </c>
    </row>
    <row r="980" spans="1:2" x14ac:dyDescent="0.25">
      <c r="A980" t="s">
        <v>1806</v>
      </c>
      <c r="B980">
        <v>1</v>
      </c>
    </row>
    <row r="981" spans="1:2" x14ac:dyDescent="0.25">
      <c r="A981" t="s">
        <v>1811</v>
      </c>
      <c r="B981">
        <v>1</v>
      </c>
    </row>
    <row r="982" spans="1:2" x14ac:dyDescent="0.25">
      <c r="A982" t="s">
        <v>1826</v>
      </c>
      <c r="B982">
        <v>1</v>
      </c>
    </row>
    <row r="983" spans="1:2" x14ac:dyDescent="0.25">
      <c r="A983" t="s">
        <v>1836</v>
      </c>
      <c r="B983">
        <v>1</v>
      </c>
    </row>
    <row r="984" spans="1:2" x14ac:dyDescent="0.25">
      <c r="A984" t="s">
        <v>1878</v>
      </c>
      <c r="B984">
        <v>1</v>
      </c>
    </row>
    <row r="985" spans="1:2" x14ac:dyDescent="0.25">
      <c r="A985" t="s">
        <v>1954</v>
      </c>
      <c r="B985">
        <v>1</v>
      </c>
    </row>
    <row r="986" spans="1:2" x14ac:dyDescent="0.25">
      <c r="A986" t="s">
        <v>1958</v>
      </c>
      <c r="B986">
        <v>1</v>
      </c>
    </row>
    <row r="987" spans="1:2" x14ac:dyDescent="0.25">
      <c r="A987" t="s">
        <v>1965</v>
      </c>
      <c r="B987">
        <v>1</v>
      </c>
    </row>
    <row r="988" spans="1:2" x14ac:dyDescent="0.25">
      <c r="A988" t="s">
        <v>1969</v>
      </c>
      <c r="B988">
        <v>1</v>
      </c>
    </row>
    <row r="989" spans="1:2" x14ac:dyDescent="0.25">
      <c r="A989" t="s">
        <v>1975</v>
      </c>
      <c r="B989">
        <v>1</v>
      </c>
    </row>
    <row r="990" spans="1:2" x14ac:dyDescent="0.25">
      <c r="A990" t="s">
        <v>1976</v>
      </c>
      <c r="B990">
        <v>1</v>
      </c>
    </row>
    <row r="991" spans="1:2" x14ac:dyDescent="0.25">
      <c r="A991" t="s">
        <v>1978</v>
      </c>
      <c r="B991">
        <v>1</v>
      </c>
    </row>
    <row r="992" spans="1:2" x14ac:dyDescent="0.25">
      <c r="A992" t="s">
        <v>1983</v>
      </c>
      <c r="B992">
        <v>1</v>
      </c>
    </row>
    <row r="993" spans="1:2" x14ac:dyDescent="0.25">
      <c r="A993" t="s">
        <v>1989</v>
      </c>
      <c r="B993">
        <v>1</v>
      </c>
    </row>
    <row r="994" spans="1:2" x14ac:dyDescent="0.25">
      <c r="A994" t="s">
        <v>2051</v>
      </c>
      <c r="B994">
        <v>1</v>
      </c>
    </row>
    <row r="995" spans="1:2" x14ac:dyDescent="0.25">
      <c r="A995" t="s">
        <v>1932</v>
      </c>
      <c r="B995">
        <v>1</v>
      </c>
    </row>
    <row r="996" spans="1:2" x14ac:dyDescent="0.25">
      <c r="A996" t="s">
        <v>1930</v>
      </c>
      <c r="B996">
        <v>1</v>
      </c>
    </row>
    <row r="997" spans="1:2" x14ac:dyDescent="0.25">
      <c r="A997" t="s">
        <v>1632</v>
      </c>
      <c r="B997">
        <v>1</v>
      </c>
    </row>
    <row r="998" spans="1:2" x14ac:dyDescent="0.25">
      <c r="A998" t="s">
        <v>1941</v>
      </c>
      <c r="B998">
        <v>1</v>
      </c>
    </row>
    <row r="999" spans="1:2" x14ac:dyDescent="0.25">
      <c r="A999" t="s">
        <v>1943</v>
      </c>
      <c r="B999">
        <v>1</v>
      </c>
    </row>
    <row r="1000" spans="1:2" x14ac:dyDescent="0.25">
      <c r="A1000" t="s">
        <v>2043</v>
      </c>
      <c r="B1000">
        <v>1</v>
      </c>
    </row>
    <row r="1001" spans="1:2" x14ac:dyDescent="0.25">
      <c r="A1001" t="s">
        <v>2082</v>
      </c>
      <c r="B1001">
        <v>1</v>
      </c>
    </row>
    <row r="1002" spans="1:2" x14ac:dyDescent="0.25">
      <c r="A1002" t="s">
        <v>1938</v>
      </c>
      <c r="B1002">
        <v>1</v>
      </c>
    </row>
    <row r="1003" spans="1:2" x14ac:dyDescent="0.25">
      <c r="A1003" t="s">
        <v>2044</v>
      </c>
      <c r="B1003">
        <v>1</v>
      </c>
    </row>
    <row r="1004" spans="1:2" x14ac:dyDescent="0.25">
      <c r="A1004" t="s">
        <v>2083</v>
      </c>
      <c r="B1004">
        <v>1</v>
      </c>
    </row>
    <row r="1005" spans="1:2" x14ac:dyDescent="0.25">
      <c r="A1005" t="s">
        <v>2084</v>
      </c>
      <c r="B1005">
        <v>1</v>
      </c>
    </row>
    <row r="1006" spans="1:2" x14ac:dyDescent="0.25">
      <c r="A1006" t="s">
        <v>1944</v>
      </c>
      <c r="B1006">
        <v>1</v>
      </c>
    </row>
    <row r="1007" spans="1:2" x14ac:dyDescent="0.25">
      <c r="A1007" t="s">
        <v>1750</v>
      </c>
      <c r="B1007">
        <v>1</v>
      </c>
    </row>
    <row r="1008" spans="1:2" x14ac:dyDescent="0.25">
      <c r="A1008" t="s">
        <v>1754</v>
      </c>
      <c r="B1008">
        <v>1</v>
      </c>
    </row>
    <row r="1009" spans="1:2" x14ac:dyDescent="0.25">
      <c r="A1009" t="s">
        <v>1747</v>
      </c>
      <c r="B1009">
        <v>1</v>
      </c>
    </row>
    <row r="1010" spans="1:2" x14ac:dyDescent="0.25">
      <c r="A1010" t="s">
        <v>1751</v>
      </c>
      <c r="B1010">
        <v>1</v>
      </c>
    </row>
    <row r="1011" spans="1:2" x14ac:dyDescent="0.25">
      <c r="A1011" t="s">
        <v>1746</v>
      </c>
      <c r="B1011">
        <v>1</v>
      </c>
    </row>
    <row r="1012" spans="1:2" x14ac:dyDescent="0.25">
      <c r="A1012" t="s">
        <v>1748</v>
      </c>
      <c r="B1012">
        <v>1</v>
      </c>
    </row>
    <row r="1013" spans="1:2" x14ac:dyDescent="0.25">
      <c r="A1013" t="s">
        <v>1752</v>
      </c>
      <c r="B1013">
        <v>1</v>
      </c>
    </row>
    <row r="1014" spans="1:2" x14ac:dyDescent="0.25">
      <c r="A1014" t="s">
        <v>1586</v>
      </c>
      <c r="B1014">
        <v>1</v>
      </c>
    </row>
    <row r="1015" spans="1:2" x14ac:dyDescent="0.25">
      <c r="A1015" t="s">
        <v>1589</v>
      </c>
      <c r="B1015">
        <v>1</v>
      </c>
    </row>
    <row r="1016" spans="1:2" x14ac:dyDescent="0.25">
      <c r="A1016" t="s">
        <v>1658</v>
      </c>
      <c r="B1016">
        <v>1</v>
      </c>
    </row>
    <row r="1017" spans="1:2" x14ac:dyDescent="0.25">
      <c r="A1017" t="s">
        <v>1733</v>
      </c>
      <c r="B1017">
        <v>1</v>
      </c>
    </row>
    <row r="1018" spans="1:2" x14ac:dyDescent="0.25">
      <c r="A1018" t="s">
        <v>1740</v>
      </c>
      <c r="B1018">
        <v>1</v>
      </c>
    </row>
    <row r="1019" spans="1:2" x14ac:dyDescent="0.25">
      <c r="A1019" t="s">
        <v>1783</v>
      </c>
      <c r="B1019">
        <v>1</v>
      </c>
    </row>
    <row r="1020" spans="1:2" x14ac:dyDescent="0.25">
      <c r="A1020" t="s">
        <v>1786</v>
      </c>
      <c r="B1020">
        <v>1</v>
      </c>
    </row>
    <row r="1021" spans="1:2" x14ac:dyDescent="0.25">
      <c r="A1021" t="s">
        <v>1840</v>
      </c>
      <c r="B1021">
        <v>1</v>
      </c>
    </row>
    <row r="1022" spans="1:2" x14ac:dyDescent="0.25">
      <c r="A1022" t="s">
        <v>1842</v>
      </c>
      <c r="B1022">
        <v>1</v>
      </c>
    </row>
    <row r="1023" spans="1:2" x14ac:dyDescent="0.25">
      <c r="A1023" t="s">
        <v>1879</v>
      </c>
      <c r="B1023">
        <v>1</v>
      </c>
    </row>
    <row r="1024" spans="1:2" x14ac:dyDescent="0.25">
      <c r="A1024" t="s">
        <v>1657</v>
      </c>
      <c r="B1024">
        <v>1</v>
      </c>
    </row>
    <row r="1025" spans="1:2" x14ac:dyDescent="0.25">
      <c r="A1025" t="s">
        <v>1661</v>
      </c>
      <c r="B1025">
        <v>1</v>
      </c>
    </row>
    <row r="1026" spans="1:2" x14ac:dyDescent="0.25">
      <c r="A1026" t="s">
        <v>1662</v>
      </c>
      <c r="B1026">
        <v>1</v>
      </c>
    </row>
    <row r="1027" spans="1:2" x14ac:dyDescent="0.25">
      <c r="A1027" t="s">
        <v>1659</v>
      </c>
      <c r="B1027">
        <v>1</v>
      </c>
    </row>
    <row r="1028" spans="1:2" x14ac:dyDescent="0.25">
      <c r="A1028" t="s">
        <v>1660</v>
      </c>
      <c r="B1028">
        <v>1</v>
      </c>
    </row>
    <row r="1029" spans="1:2" x14ac:dyDescent="0.25">
      <c r="A1029" t="s">
        <v>2065</v>
      </c>
      <c r="B1029">
        <v>1</v>
      </c>
    </row>
    <row r="1030" spans="1:2" x14ac:dyDescent="0.25">
      <c r="A1030" t="s">
        <v>2067</v>
      </c>
      <c r="B1030">
        <v>1</v>
      </c>
    </row>
    <row r="1031" spans="1:2" x14ac:dyDescent="0.25">
      <c r="A1031" t="s">
        <v>1702</v>
      </c>
      <c r="B1031">
        <v>1</v>
      </c>
    </row>
    <row r="1032" spans="1:2" x14ac:dyDescent="0.25">
      <c r="A1032" t="s">
        <v>1646</v>
      </c>
      <c r="B1032">
        <v>1</v>
      </c>
    </row>
    <row r="1033" spans="1:2" x14ac:dyDescent="0.25">
      <c r="A1033" t="s">
        <v>1643</v>
      </c>
      <c r="B1033">
        <v>1</v>
      </c>
    </row>
    <row r="1034" spans="1:2" x14ac:dyDescent="0.25">
      <c r="A1034" t="s">
        <v>1707</v>
      </c>
      <c r="B1034">
        <v>1</v>
      </c>
    </row>
    <row r="1035" spans="1:2" x14ac:dyDescent="0.25">
      <c r="A1035" t="s">
        <v>2103</v>
      </c>
      <c r="B1035">
        <v>1</v>
      </c>
    </row>
    <row r="1036" spans="1:2" x14ac:dyDescent="0.25">
      <c r="A1036" t="s">
        <v>2063</v>
      </c>
      <c r="B1036">
        <v>1</v>
      </c>
    </row>
    <row r="1037" spans="1:2" x14ac:dyDescent="0.25">
      <c r="A1037" t="s">
        <v>2064</v>
      </c>
      <c r="B1037">
        <v>1</v>
      </c>
    </row>
    <row r="1038" spans="1:2" x14ac:dyDescent="0.25">
      <c r="A1038" t="s">
        <v>1848</v>
      </c>
      <c r="B1038">
        <v>1</v>
      </c>
    </row>
    <row r="1039" spans="1:2" x14ac:dyDescent="0.25">
      <c r="A1039" t="s">
        <v>1849</v>
      </c>
      <c r="B1039">
        <v>1</v>
      </c>
    </row>
    <row r="1040" spans="1:2" x14ac:dyDescent="0.25">
      <c r="A1040" t="s">
        <v>1953</v>
      </c>
      <c r="B1040">
        <v>1</v>
      </c>
    </row>
    <row r="1041" spans="1:2" x14ac:dyDescent="0.25">
      <c r="A1041" t="s">
        <v>1957</v>
      </c>
      <c r="B1041">
        <v>1</v>
      </c>
    </row>
    <row r="1042" spans="1:2" x14ac:dyDescent="0.25">
      <c r="A1042" t="s">
        <v>2069</v>
      </c>
      <c r="B1042">
        <v>1</v>
      </c>
    </row>
    <row r="1043" spans="1:2" x14ac:dyDescent="0.25">
      <c r="A1043" t="s">
        <v>2072</v>
      </c>
      <c r="B1043">
        <v>1</v>
      </c>
    </row>
    <row r="1044" spans="1:2" x14ac:dyDescent="0.25">
      <c r="A1044" t="s">
        <v>2077</v>
      </c>
      <c r="B1044">
        <v>1</v>
      </c>
    </row>
    <row r="1045" spans="1:2" x14ac:dyDescent="0.25">
      <c r="A1045" t="s">
        <v>1639</v>
      </c>
      <c r="B1045">
        <v>1</v>
      </c>
    </row>
    <row r="1046" spans="1:2" x14ac:dyDescent="0.25">
      <c r="A1046" t="s">
        <v>2125</v>
      </c>
      <c r="B1046">
        <v>1</v>
      </c>
    </row>
    <row r="1047" spans="1:2" x14ac:dyDescent="0.25">
      <c r="A1047" t="s">
        <v>1584</v>
      </c>
      <c r="B1047">
        <v>1</v>
      </c>
    </row>
    <row r="1048" spans="1:2" x14ac:dyDescent="0.25">
      <c r="A1048" t="s">
        <v>1593</v>
      </c>
      <c r="B1048">
        <v>1</v>
      </c>
    </row>
    <row r="1049" spans="1:2" x14ac:dyDescent="0.25">
      <c r="A1049" t="s">
        <v>1827</v>
      </c>
      <c r="B1049">
        <v>1</v>
      </c>
    </row>
    <row r="1050" spans="1:2" x14ac:dyDescent="0.25">
      <c r="A1050" t="s">
        <v>1856</v>
      </c>
      <c r="B1050">
        <v>1</v>
      </c>
    </row>
    <row r="1051" spans="1:2" x14ac:dyDescent="0.25">
      <c r="A1051" t="s">
        <v>1816</v>
      </c>
      <c r="B1051">
        <v>1</v>
      </c>
    </row>
    <row r="1052" spans="1:2" x14ac:dyDescent="0.25">
      <c r="A1052" t="s">
        <v>1821</v>
      </c>
      <c r="B1052">
        <v>1</v>
      </c>
    </row>
    <row r="1053" spans="1:2" x14ac:dyDescent="0.25">
      <c r="A1053" t="s">
        <v>1819</v>
      </c>
      <c r="B1053">
        <v>1</v>
      </c>
    </row>
    <row r="1054" spans="1:2" x14ac:dyDescent="0.25">
      <c r="A1054" t="s">
        <v>1817</v>
      </c>
      <c r="B1054">
        <v>1</v>
      </c>
    </row>
    <row r="1055" spans="1:2" x14ac:dyDescent="0.25">
      <c r="A1055" t="s">
        <v>1818</v>
      </c>
      <c r="B1055">
        <v>1</v>
      </c>
    </row>
    <row r="1056" spans="1:2" x14ac:dyDescent="0.25">
      <c r="A1056" t="s">
        <v>1822</v>
      </c>
      <c r="B1056">
        <v>1</v>
      </c>
    </row>
    <row r="1057" spans="1:2" x14ac:dyDescent="0.25">
      <c r="A1057" t="s">
        <v>1934</v>
      </c>
      <c r="B1057">
        <v>1</v>
      </c>
    </row>
    <row r="1058" spans="1:2" x14ac:dyDescent="0.25">
      <c r="A1058" t="s">
        <v>1696</v>
      </c>
      <c r="B1058">
        <v>1</v>
      </c>
    </row>
    <row r="1059" spans="1:2" x14ac:dyDescent="0.25">
      <c r="A1059" t="s">
        <v>1923</v>
      </c>
      <c r="B1059">
        <v>1</v>
      </c>
    </row>
    <row r="1060" spans="1:2" x14ac:dyDescent="0.25">
      <c r="A1060" t="s">
        <v>1697</v>
      </c>
      <c r="B1060">
        <v>1</v>
      </c>
    </row>
    <row r="1061" spans="1:2" x14ac:dyDescent="0.25">
      <c r="A1061" t="s">
        <v>1924</v>
      </c>
      <c r="B1061">
        <v>1</v>
      </c>
    </row>
    <row r="1062" spans="1:2" x14ac:dyDescent="0.25">
      <c r="A1062" t="s">
        <v>1946</v>
      </c>
      <c r="B1062">
        <v>1</v>
      </c>
    </row>
    <row r="1063" spans="1:2" x14ac:dyDescent="0.25">
      <c r="A1063" t="s">
        <v>1681</v>
      </c>
      <c r="B1063">
        <v>1</v>
      </c>
    </row>
    <row r="1064" spans="1:2" x14ac:dyDescent="0.25">
      <c r="A1064" t="s">
        <v>1964</v>
      </c>
      <c r="B1064">
        <v>1</v>
      </c>
    </row>
    <row r="1065" spans="1:2" x14ac:dyDescent="0.25">
      <c r="A1065" t="s">
        <v>1968</v>
      </c>
      <c r="B1065">
        <v>1</v>
      </c>
    </row>
    <row r="1066" spans="1:2" x14ac:dyDescent="0.25">
      <c r="A1066" t="s">
        <v>1757</v>
      </c>
      <c r="B1066">
        <v>1</v>
      </c>
    </row>
    <row r="1067" spans="1:2" x14ac:dyDescent="0.25">
      <c r="A1067" t="s">
        <v>1764</v>
      </c>
      <c r="B1067">
        <v>1</v>
      </c>
    </row>
    <row r="1068" spans="1:2" x14ac:dyDescent="0.25">
      <c r="A1068" t="s">
        <v>1755</v>
      </c>
      <c r="B1068">
        <v>1</v>
      </c>
    </row>
    <row r="1069" spans="1:2" x14ac:dyDescent="0.25">
      <c r="A1069" t="s">
        <v>1759</v>
      </c>
      <c r="B1069">
        <v>1</v>
      </c>
    </row>
    <row r="1070" spans="1:2" x14ac:dyDescent="0.25">
      <c r="A1070" t="s">
        <v>1765</v>
      </c>
      <c r="B1070">
        <v>1</v>
      </c>
    </row>
    <row r="1071" spans="1:2" x14ac:dyDescent="0.25">
      <c r="A1071" t="s">
        <v>2053</v>
      </c>
      <c r="B1071">
        <v>1</v>
      </c>
    </row>
    <row r="1072" spans="1:2" x14ac:dyDescent="0.25">
      <c r="A1072" t="s">
        <v>1634</v>
      </c>
      <c r="B1072">
        <v>1</v>
      </c>
    </row>
    <row r="1073" spans="1:2" x14ac:dyDescent="0.25">
      <c r="A1073" t="s">
        <v>1708</v>
      </c>
      <c r="B1073">
        <v>1</v>
      </c>
    </row>
    <row r="1074" spans="1:2" x14ac:dyDescent="0.25">
      <c r="A1074" t="s">
        <v>2058</v>
      </c>
      <c r="B1074">
        <v>1</v>
      </c>
    </row>
    <row r="1075" spans="1:2" x14ac:dyDescent="0.25">
      <c r="A1075" t="s">
        <v>1599</v>
      </c>
      <c r="B1075">
        <v>1</v>
      </c>
    </row>
    <row r="1076" spans="1:2" x14ac:dyDescent="0.25">
      <c r="A1076" t="s">
        <v>1603</v>
      </c>
      <c r="B1076">
        <v>1</v>
      </c>
    </row>
    <row r="1077" spans="1:2" x14ac:dyDescent="0.25">
      <c r="A1077" t="s">
        <v>1605</v>
      </c>
      <c r="B1077">
        <v>1</v>
      </c>
    </row>
    <row r="1078" spans="1:2" x14ac:dyDescent="0.25">
      <c r="A1078" t="s">
        <v>1610</v>
      </c>
      <c r="B1078">
        <v>1</v>
      </c>
    </row>
    <row r="1079" spans="1:2" x14ac:dyDescent="0.25">
      <c r="A1079" t="s">
        <v>1616</v>
      </c>
      <c r="B1079">
        <v>1</v>
      </c>
    </row>
    <row r="1080" spans="1:2" x14ac:dyDescent="0.25">
      <c r="A1080" t="s">
        <v>1624</v>
      </c>
      <c r="B1080">
        <v>1</v>
      </c>
    </row>
    <row r="1081" spans="1:2" x14ac:dyDescent="0.25">
      <c r="A1081" t="s">
        <v>1664</v>
      </c>
      <c r="B1081">
        <v>1</v>
      </c>
    </row>
    <row r="1082" spans="1:2" x14ac:dyDescent="0.25">
      <c r="A1082" t="s">
        <v>1766</v>
      </c>
      <c r="B1082">
        <v>1</v>
      </c>
    </row>
    <row r="1083" spans="1:2" x14ac:dyDescent="0.25">
      <c r="A1083" t="s">
        <v>2079</v>
      </c>
      <c r="B1083">
        <v>1</v>
      </c>
    </row>
    <row r="1084" spans="1:2" x14ac:dyDescent="0.25">
      <c r="A1084" t="s">
        <v>1864</v>
      </c>
      <c r="B1084">
        <v>1</v>
      </c>
    </row>
    <row r="1085" spans="1:2" x14ac:dyDescent="0.25">
      <c r="A1085" t="s">
        <v>1866</v>
      </c>
      <c r="B1085">
        <v>1</v>
      </c>
    </row>
    <row r="1086" spans="1:2" x14ac:dyDescent="0.25">
      <c r="A1086" t="s">
        <v>1869</v>
      </c>
      <c r="B1086">
        <v>1</v>
      </c>
    </row>
    <row r="1087" spans="1:2" x14ac:dyDescent="0.25">
      <c r="A1087" t="s">
        <v>1865</v>
      </c>
      <c r="B1087">
        <v>1</v>
      </c>
    </row>
    <row r="1088" spans="1:2" x14ac:dyDescent="0.25">
      <c r="A1088" t="s">
        <v>1868</v>
      </c>
      <c r="B1088">
        <v>1</v>
      </c>
    </row>
    <row r="1089" spans="1:2" x14ac:dyDescent="0.25">
      <c r="A1089" t="s">
        <v>1891</v>
      </c>
      <c r="B1089">
        <v>1</v>
      </c>
    </row>
    <row r="1090" spans="1:2" x14ac:dyDescent="0.25">
      <c r="A1090" t="s">
        <v>1787</v>
      </c>
      <c r="B1090">
        <v>1</v>
      </c>
    </row>
    <row r="1091" spans="1:2" x14ac:dyDescent="0.25">
      <c r="A1091" t="s">
        <v>2070</v>
      </c>
      <c r="B1091">
        <v>1</v>
      </c>
    </row>
    <row r="1092" spans="1:2" x14ac:dyDescent="0.25">
      <c r="A1092" t="s">
        <v>1703</v>
      </c>
      <c r="B1092">
        <v>1</v>
      </c>
    </row>
    <row r="1093" spans="1:2" x14ac:dyDescent="0.25">
      <c r="A1093" t="s">
        <v>1609</v>
      </c>
      <c r="B1093">
        <v>1</v>
      </c>
    </row>
    <row r="1094" spans="1:2" x14ac:dyDescent="0.25">
      <c r="A1094" t="s">
        <v>1614</v>
      </c>
      <c r="B1094">
        <v>1</v>
      </c>
    </row>
    <row r="1095" spans="1:2" x14ac:dyDescent="0.25">
      <c r="A1095" t="s">
        <v>1620</v>
      </c>
      <c r="B1095">
        <v>1</v>
      </c>
    </row>
    <row r="1096" spans="1:2" x14ac:dyDescent="0.25">
      <c r="A1096" t="s">
        <v>1627</v>
      </c>
      <c r="B1096">
        <v>1</v>
      </c>
    </row>
    <row r="1097" spans="1:2" x14ac:dyDescent="0.25">
      <c r="A1097" t="s">
        <v>2018</v>
      </c>
      <c r="B1097">
        <v>1</v>
      </c>
    </row>
    <row r="1098" spans="1:2" x14ac:dyDescent="0.25">
      <c r="A1098" t="s">
        <v>2062</v>
      </c>
      <c r="B1098">
        <v>1</v>
      </c>
    </row>
    <row r="1099" spans="1:2" x14ac:dyDescent="0.25">
      <c r="A1099" t="s">
        <v>1736</v>
      </c>
      <c r="B1099">
        <v>1</v>
      </c>
    </row>
    <row r="1100" spans="1:2" x14ac:dyDescent="0.25">
      <c r="A1100" t="s">
        <v>1781</v>
      </c>
      <c r="B1100">
        <v>1</v>
      </c>
    </row>
    <row r="1101" spans="1:2" x14ac:dyDescent="0.25">
      <c r="A1101" t="s">
        <v>1785</v>
      </c>
      <c r="B1101">
        <v>1</v>
      </c>
    </row>
    <row r="1102" spans="1:2" x14ac:dyDescent="0.25">
      <c r="A1102" t="s">
        <v>2088</v>
      </c>
      <c r="B1102">
        <v>1</v>
      </c>
    </row>
    <row r="1103" spans="1:2" x14ac:dyDescent="0.25">
      <c r="A1103" t="s">
        <v>1635</v>
      </c>
      <c r="B1103">
        <v>1</v>
      </c>
    </row>
    <row r="1104" spans="1:2" x14ac:dyDescent="0.25">
      <c r="A1104" t="s">
        <v>1636</v>
      </c>
      <c r="B1104">
        <v>1</v>
      </c>
    </row>
    <row r="1105" spans="1:2" x14ac:dyDescent="0.25">
      <c r="A1105" t="s">
        <v>1709</v>
      </c>
      <c r="B1105">
        <v>1</v>
      </c>
    </row>
    <row r="1106" spans="1:2" x14ac:dyDescent="0.25">
      <c r="A1106" t="s">
        <v>2059</v>
      </c>
      <c r="B1106">
        <v>1</v>
      </c>
    </row>
    <row r="1107" spans="1:2" x14ac:dyDescent="0.25">
      <c r="A1107" t="s">
        <v>1698</v>
      </c>
      <c r="B1107">
        <v>1</v>
      </c>
    </row>
    <row r="1108" spans="1:2" x14ac:dyDescent="0.25">
      <c r="A1108" t="s">
        <v>1925</v>
      </c>
      <c r="B1108">
        <v>1</v>
      </c>
    </row>
    <row r="1109" spans="1:2" x14ac:dyDescent="0.25">
      <c r="A1109" t="s">
        <v>1947</v>
      </c>
      <c r="B1109">
        <v>1</v>
      </c>
    </row>
    <row r="1110" spans="1:2" x14ac:dyDescent="0.25">
      <c r="A1110" t="s">
        <v>1948</v>
      </c>
      <c r="B1110">
        <v>1</v>
      </c>
    </row>
    <row r="1111" spans="1:2" x14ac:dyDescent="0.25">
      <c r="A1111" t="s">
        <v>1699</v>
      </c>
      <c r="B1111">
        <v>1</v>
      </c>
    </row>
    <row r="1112" spans="1:2" x14ac:dyDescent="0.25">
      <c r="A1112" t="s">
        <v>1926</v>
      </c>
      <c r="B1112">
        <v>1</v>
      </c>
    </row>
    <row r="1113" spans="1:2" x14ac:dyDescent="0.25">
      <c r="A1113" t="s">
        <v>1949</v>
      </c>
      <c r="B1113">
        <v>1</v>
      </c>
    </row>
    <row r="1114" spans="1:2" x14ac:dyDescent="0.25">
      <c r="A1114" t="s">
        <v>1608</v>
      </c>
      <c r="B1114">
        <v>1</v>
      </c>
    </row>
    <row r="1115" spans="1:2" x14ac:dyDescent="0.25">
      <c r="A1115" t="s">
        <v>1613</v>
      </c>
      <c r="B1115">
        <v>1</v>
      </c>
    </row>
    <row r="1116" spans="1:2" x14ac:dyDescent="0.25">
      <c r="A1116" t="s">
        <v>1619</v>
      </c>
      <c r="B1116">
        <v>1</v>
      </c>
    </row>
    <row r="1117" spans="1:2" x14ac:dyDescent="0.25">
      <c r="A1117" t="s">
        <v>1626</v>
      </c>
      <c r="B1117">
        <v>1</v>
      </c>
    </row>
    <row r="1118" spans="1:2" x14ac:dyDescent="0.25">
      <c r="A1118" t="s">
        <v>2017</v>
      </c>
      <c r="B1118">
        <v>1</v>
      </c>
    </row>
    <row r="1119" spans="1:2" x14ac:dyDescent="0.25">
      <c r="A1119" t="s">
        <v>1950</v>
      </c>
      <c r="B1119">
        <v>1</v>
      </c>
    </row>
    <row r="1120" spans="1:2" x14ac:dyDescent="0.25">
      <c r="A1120" t="s">
        <v>1585</v>
      </c>
      <c r="B1120">
        <v>1</v>
      </c>
    </row>
    <row r="1121" spans="1:2" x14ac:dyDescent="0.25">
      <c r="A1121" t="s">
        <v>1594</v>
      </c>
      <c r="B1121">
        <v>1</v>
      </c>
    </row>
    <row r="1122" spans="1:2" x14ac:dyDescent="0.25">
      <c r="A1122" t="s">
        <v>1668</v>
      </c>
      <c r="B1122">
        <v>1</v>
      </c>
    </row>
    <row r="1123" spans="1:2" x14ac:dyDescent="0.25">
      <c r="A1123" t="s">
        <v>2016</v>
      </c>
      <c r="B1123">
        <v>1</v>
      </c>
    </row>
    <row r="1124" spans="1:2" x14ac:dyDescent="0.25">
      <c r="A1124" t="s">
        <v>2015</v>
      </c>
      <c r="B1124">
        <v>1</v>
      </c>
    </row>
    <row r="1125" spans="1:2" x14ac:dyDescent="0.25">
      <c r="A1125" t="s">
        <v>1669</v>
      </c>
      <c r="B1125">
        <v>1</v>
      </c>
    </row>
    <row r="1126" spans="1:2" x14ac:dyDescent="0.25">
      <c r="A1126" t="s">
        <v>2037</v>
      </c>
      <c r="B1126">
        <v>1</v>
      </c>
    </row>
    <row r="1127" spans="1:2" x14ac:dyDescent="0.25">
      <c r="A1127" t="s">
        <v>2019</v>
      </c>
      <c r="B1127">
        <v>1</v>
      </c>
    </row>
    <row r="1128" spans="1:2" x14ac:dyDescent="0.25">
      <c r="A1128" t="s">
        <v>1600</v>
      </c>
      <c r="B1128">
        <v>1</v>
      </c>
    </row>
    <row r="1129" spans="1:2" x14ac:dyDescent="0.25">
      <c r="A1129" t="s">
        <v>1604</v>
      </c>
      <c r="B1129">
        <v>1</v>
      </c>
    </row>
    <row r="1130" spans="1:2" x14ac:dyDescent="0.25">
      <c r="A1130" t="s">
        <v>1606</v>
      </c>
      <c r="B1130">
        <v>1</v>
      </c>
    </row>
    <row r="1131" spans="1:2" x14ac:dyDescent="0.25">
      <c r="A1131" t="s">
        <v>1611</v>
      </c>
      <c r="B1131">
        <v>1</v>
      </c>
    </row>
    <row r="1132" spans="1:2" x14ac:dyDescent="0.25">
      <c r="A1132" t="s">
        <v>1617</v>
      </c>
      <c r="B1132">
        <v>1</v>
      </c>
    </row>
    <row r="1133" spans="1:2" x14ac:dyDescent="0.25">
      <c r="A1133" t="s">
        <v>1625</v>
      </c>
      <c r="B1133">
        <v>1</v>
      </c>
    </row>
    <row r="1134" spans="1:2" x14ac:dyDescent="0.25">
      <c r="A1134" t="s">
        <v>1921</v>
      </c>
      <c r="B1134">
        <v>1</v>
      </c>
    </row>
    <row r="1135" spans="1:2" x14ac:dyDescent="0.25">
      <c r="A1135" t="s">
        <v>1767</v>
      </c>
      <c r="B1135">
        <v>1</v>
      </c>
    </row>
    <row r="1136" spans="1:2" x14ac:dyDescent="0.25">
      <c r="A1136" t="s">
        <v>1768</v>
      </c>
      <c r="B1136">
        <v>1</v>
      </c>
    </row>
    <row r="1137" spans="1:2" x14ac:dyDescent="0.25">
      <c r="A1137" t="s">
        <v>1680</v>
      </c>
      <c r="B1137">
        <v>1</v>
      </c>
    </row>
    <row r="1138" spans="1:2" x14ac:dyDescent="0.25">
      <c r="A1138" t="s">
        <v>1900</v>
      </c>
      <c r="B1138">
        <v>1</v>
      </c>
    </row>
    <row r="1139" spans="1:2" x14ac:dyDescent="0.25">
      <c r="A1139" t="s">
        <v>2087</v>
      </c>
      <c r="B1139">
        <v>1</v>
      </c>
    </row>
    <row r="1140" spans="1:2" x14ac:dyDescent="0.25">
      <c r="A1140" t="s">
        <v>1911</v>
      </c>
      <c r="B1140">
        <v>1</v>
      </c>
    </row>
  </sheetData>
  <sortState xmlns:xlrd2="http://schemas.microsoft.com/office/spreadsheetml/2017/richdata2" ref="A589:B1173">
    <sortCondition descending="1" ref="B589:B1173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9E18-75D1-4EA4-BE4C-2883B863D337}">
  <dimension ref="A1:H249"/>
  <sheetViews>
    <sheetView tabSelected="1" topLeftCell="E195" workbookViewId="0">
      <selection activeCell="H5" sqref="H5:H249"/>
    </sheetView>
  </sheetViews>
  <sheetFormatPr defaultRowHeight="15" x14ac:dyDescent="0.25"/>
  <cols>
    <col min="2" max="2" width="42.7109375" bestFit="1" customWidth="1"/>
    <col min="3" max="3" width="42.7109375" customWidth="1"/>
    <col min="4" max="4" width="119.85546875" bestFit="1" customWidth="1"/>
    <col min="5" max="5" width="70.42578125" bestFit="1" customWidth="1"/>
    <col min="6" max="6" width="96.7109375" bestFit="1" customWidth="1"/>
    <col min="7" max="7" width="84.5703125" bestFit="1" customWidth="1"/>
  </cols>
  <sheetData>
    <row r="1" spans="1:8" x14ac:dyDescent="0.25">
      <c r="A1" t="s">
        <v>2130</v>
      </c>
    </row>
    <row r="3" spans="1:8" x14ac:dyDescent="0.25">
      <c r="B3" t="s">
        <v>2135</v>
      </c>
      <c r="D3" t="s">
        <v>2136</v>
      </c>
    </row>
    <row r="4" spans="1:8" x14ac:dyDescent="0.25">
      <c r="B4" t="s">
        <v>2137</v>
      </c>
      <c r="D4" t="s">
        <v>2138</v>
      </c>
      <c r="F4" t="s">
        <v>2822</v>
      </c>
      <c r="G4" t="s">
        <v>2823</v>
      </c>
      <c r="H4" t="s">
        <v>2824</v>
      </c>
    </row>
    <row r="5" spans="1:8" x14ac:dyDescent="0.25">
      <c r="B5" t="s">
        <v>2210</v>
      </c>
      <c r="C5" s="2">
        <v>45413</v>
      </c>
      <c r="D5" t="s">
        <v>2370</v>
      </c>
      <c r="E5" t="s">
        <v>2596</v>
      </c>
      <c r="F5" t="str">
        <f>"https://hl7.org/cda/us/ccda/"&amp;E5</f>
        <v xml:space="preserve">https://hl7.org/cda/us/ccda/StructureDefinition-USRealmHeader.html </v>
      </c>
      <c r="G5" t="str">
        <f>"https://hl7.org/cda/stds/ccda/draft1/StructureDefinition-"&amp;B5</f>
        <v>https://hl7.org/cda/stds/ccda/draft1/StructureDefinition- 2.16.840.1.113883.10.20.22.1.1</v>
      </c>
      <c r="H5" t="str">
        <f>"{new:'"&amp;F5&amp;"', old:'"&amp;G5&amp;"' },"</f>
        <v>{new:'https://hl7.org/cda/us/ccda/StructureDefinition-USRealmHeader.html ', old:'https://hl7.org/cda/stds/ccda/draft1/StructureDefinition- 2.16.840.1.113883.10.20.22.1.1' },</v>
      </c>
    </row>
    <row r="6" spans="1:8" x14ac:dyDescent="0.25">
      <c r="B6" t="s">
        <v>2211</v>
      </c>
      <c r="C6" s="2">
        <v>45413</v>
      </c>
      <c r="D6" t="s">
        <v>2371</v>
      </c>
      <c r="E6" t="s">
        <v>2597</v>
      </c>
      <c r="F6" t="str">
        <f t="shared" ref="F6:F66" si="0">"https://hl7.org/cda/us/ccda/"&amp;E6</f>
        <v xml:space="preserve">https://hl7.org/cda/us/ccda/StructureDefinition-ContinuityofCareDocumentCCD.html </v>
      </c>
      <c r="G6" t="str">
        <f t="shared" ref="G6:G66" si="1">"https://hl7.org/cda/stds/ccda/draft1/StructureDefinition-"&amp;B6</f>
        <v>https://hl7.org/cda/stds/ccda/draft1/StructureDefinition- 2.16.840.1.113883.10.20.22.1.2</v>
      </c>
      <c r="H6" t="str">
        <f t="shared" ref="H6:H69" si="2">"{new:'"&amp;F6&amp;"', old:'"&amp;G6&amp;"' },"</f>
        <v>{new:'https://hl7.org/cda/us/ccda/StructureDefinition-ContinuityofCareDocumentCCD.html ', old:'https://hl7.org/cda/stds/ccda/draft1/StructureDefinition- 2.16.840.1.113883.10.20.22.1.2' },</v>
      </c>
    </row>
    <row r="7" spans="1:8" x14ac:dyDescent="0.25">
      <c r="B7" t="s">
        <v>2212</v>
      </c>
      <c r="C7" s="2">
        <v>45413</v>
      </c>
      <c r="D7" t="s">
        <v>2372</v>
      </c>
      <c r="E7" t="s">
        <v>2598</v>
      </c>
      <c r="F7" t="str">
        <f t="shared" si="0"/>
        <v xml:space="preserve">https://hl7.org/cda/us/ccda/StructureDefinition-HistoryandPhysical.html </v>
      </c>
      <c r="G7" t="str">
        <f t="shared" si="1"/>
        <v>https://hl7.org/cda/stds/ccda/draft1/StructureDefinition- 2.16.840.1.113883.10.20.22.1.3</v>
      </c>
      <c r="H7" t="str">
        <f t="shared" si="2"/>
        <v>{new:'https://hl7.org/cda/us/ccda/StructureDefinition-HistoryandPhysical.html ', old:'https://hl7.org/cda/stds/ccda/draft1/StructureDefinition- 2.16.840.1.113883.10.20.22.1.3' },</v>
      </c>
    </row>
    <row r="8" spans="1:8" x14ac:dyDescent="0.25">
      <c r="B8" t="s">
        <v>2213</v>
      </c>
      <c r="C8" s="2">
        <v>45413</v>
      </c>
      <c r="D8" t="s">
        <v>2373</v>
      </c>
      <c r="E8" t="s">
        <v>2599</v>
      </c>
      <c r="F8" t="str">
        <f t="shared" si="0"/>
        <v xml:space="preserve">https://hl7.org/cda/us/ccda/StructureDefinition-ConsultationNote.html </v>
      </c>
      <c r="G8" t="str">
        <f t="shared" si="1"/>
        <v>https://hl7.org/cda/stds/ccda/draft1/StructureDefinition- 2.16.840.1.113883.10.20.22.1.4</v>
      </c>
      <c r="H8" t="str">
        <f t="shared" si="2"/>
        <v>{new:'https://hl7.org/cda/us/ccda/StructureDefinition-ConsultationNote.html ', old:'https://hl7.org/cda/stds/ccda/draft1/StructureDefinition- 2.16.840.1.113883.10.20.22.1.4' },</v>
      </c>
    </row>
    <row r="9" spans="1:8" x14ac:dyDescent="0.25">
      <c r="B9" t="s">
        <v>2214</v>
      </c>
      <c r="C9" s="2">
        <v>45413</v>
      </c>
      <c r="D9" t="s">
        <v>2374</v>
      </c>
      <c r="E9" t="s">
        <v>2600</v>
      </c>
      <c r="F9" t="str">
        <f t="shared" si="0"/>
        <v xml:space="preserve">https://hl7.org/cda/us/ccda/StructureDefinition-ProcedureNote.html </v>
      </c>
      <c r="G9" t="str">
        <f t="shared" si="1"/>
        <v>https://hl7.org/cda/stds/ccda/draft1/StructureDefinition- 2.16.840.1.113883.10.20.22.1.6</v>
      </c>
      <c r="H9" t="str">
        <f t="shared" si="2"/>
        <v>{new:'https://hl7.org/cda/us/ccda/StructureDefinition-ProcedureNote.html ', old:'https://hl7.org/cda/stds/ccda/draft1/StructureDefinition- 2.16.840.1.113883.10.20.22.1.6' },</v>
      </c>
    </row>
    <row r="10" spans="1:8" x14ac:dyDescent="0.25">
      <c r="B10" t="s">
        <v>2215</v>
      </c>
      <c r="C10" s="2">
        <v>45413</v>
      </c>
      <c r="D10" t="s">
        <v>2375</v>
      </c>
      <c r="E10" t="s">
        <v>2601</v>
      </c>
      <c r="F10" t="str">
        <f t="shared" si="0"/>
        <v xml:space="preserve">https://hl7.org/cda/us/ccda/StructureDefinition-OperativeNote.html </v>
      </c>
      <c r="G10" t="str">
        <f t="shared" si="1"/>
        <v>https://hl7.org/cda/stds/ccda/draft1/StructureDefinition- 2.16.840.1.113883.10.20.22.1.7</v>
      </c>
      <c r="H10" t="str">
        <f t="shared" si="2"/>
        <v>{new:'https://hl7.org/cda/us/ccda/StructureDefinition-OperativeNote.html ', old:'https://hl7.org/cda/stds/ccda/draft1/StructureDefinition- 2.16.840.1.113883.10.20.22.1.7' },</v>
      </c>
    </row>
    <row r="11" spans="1:8" x14ac:dyDescent="0.25">
      <c r="B11" t="s">
        <v>2216</v>
      </c>
      <c r="C11" s="2">
        <v>45413</v>
      </c>
      <c r="D11" t="s">
        <v>2376</v>
      </c>
      <c r="E11" t="s">
        <v>2602</v>
      </c>
      <c r="F11" t="str">
        <f t="shared" si="0"/>
        <v xml:space="preserve">https://hl7.org/cda/us/ccda/StructureDefinition-DischargeSummary.html </v>
      </c>
      <c r="G11" t="str">
        <f t="shared" si="1"/>
        <v>https://hl7.org/cda/stds/ccda/draft1/StructureDefinition- 2.16.840.1.113883.10.20.22.1.8</v>
      </c>
      <c r="H11" t="str">
        <f t="shared" si="2"/>
        <v>{new:'https://hl7.org/cda/us/ccda/StructureDefinition-DischargeSummary.html ', old:'https://hl7.org/cda/stds/ccda/draft1/StructureDefinition- 2.16.840.1.113883.10.20.22.1.8' },</v>
      </c>
    </row>
    <row r="12" spans="1:8" x14ac:dyDescent="0.25">
      <c r="B12" t="s">
        <v>2217</v>
      </c>
      <c r="C12" s="2">
        <v>45413</v>
      </c>
      <c r="D12" t="s">
        <v>2377</v>
      </c>
      <c r="E12" t="s">
        <v>2603</v>
      </c>
      <c r="F12" t="str">
        <f t="shared" si="0"/>
        <v xml:space="preserve">https://hl7.org/cda/us/ccda/StructureDefinition-ProgressNote.html </v>
      </c>
      <c r="G12" t="str">
        <f t="shared" si="1"/>
        <v>https://hl7.org/cda/stds/ccda/draft1/StructureDefinition- 2.16.840.1.113883.10.20.22.1.9</v>
      </c>
      <c r="H12" t="str">
        <f t="shared" si="2"/>
        <v>{new:'https://hl7.org/cda/us/ccda/StructureDefinition-ProgressNote.html ', old:'https://hl7.org/cda/stds/ccda/draft1/StructureDefinition- 2.16.840.1.113883.10.20.22.1.9' },</v>
      </c>
    </row>
    <row r="13" spans="1:8" x14ac:dyDescent="0.25">
      <c r="B13" t="s">
        <v>2218</v>
      </c>
      <c r="C13" s="2">
        <v>45413</v>
      </c>
      <c r="D13" t="s">
        <v>2378</v>
      </c>
      <c r="E13" t="s">
        <v>2604</v>
      </c>
      <c r="F13" t="str">
        <f t="shared" si="0"/>
        <v xml:space="preserve">https://hl7.org/cda/us/ccda/StructureDefinition-UnstructuredDocument.html </v>
      </c>
      <c r="G13" t="str">
        <f t="shared" si="1"/>
        <v>https://hl7.org/cda/stds/ccda/draft1/StructureDefinition- 2.16.840.1.113883.10.20.22.1.10</v>
      </c>
      <c r="H13" t="str">
        <f t="shared" si="2"/>
        <v>{new:'https://hl7.org/cda/us/ccda/StructureDefinition-UnstructuredDocument.html ', old:'https://hl7.org/cda/stds/ccda/draft1/StructureDefinition- 2.16.840.1.113883.10.20.22.1.10' },</v>
      </c>
    </row>
    <row r="14" spans="1:8" x14ac:dyDescent="0.25">
      <c r="B14" t="s">
        <v>2219</v>
      </c>
      <c r="C14" s="2">
        <v>45413</v>
      </c>
      <c r="D14" t="s">
        <v>2379</v>
      </c>
      <c r="E14" t="s">
        <v>2605</v>
      </c>
      <c r="F14" t="str">
        <f t="shared" si="0"/>
        <v xml:space="preserve">https://hl7.org/cda/us/ccda/StructureDefinition-TransferSummary.html </v>
      </c>
      <c r="G14" t="str">
        <f t="shared" si="1"/>
        <v>https://hl7.org/cda/stds/ccda/draft1/StructureDefinition- 2.16.840.1.113883.10.20.22.1.13</v>
      </c>
      <c r="H14" t="str">
        <f t="shared" si="2"/>
        <v>{new:'https://hl7.org/cda/us/ccda/StructureDefinition-TransferSummary.html ', old:'https://hl7.org/cda/stds/ccda/draft1/StructureDefinition- 2.16.840.1.113883.10.20.22.1.13' },</v>
      </c>
    </row>
    <row r="15" spans="1:8" x14ac:dyDescent="0.25">
      <c r="B15" t="s">
        <v>2220</v>
      </c>
      <c r="C15" s="2">
        <v>45413</v>
      </c>
      <c r="D15" t="s">
        <v>2380</v>
      </c>
      <c r="E15" t="s">
        <v>2606</v>
      </c>
      <c r="F15" t="str">
        <f t="shared" si="0"/>
        <v xml:space="preserve">https://hl7.org/cda/us/ccda/StructureDefinition-ReferralNote.html </v>
      </c>
      <c r="G15" t="str">
        <f t="shared" si="1"/>
        <v>https://hl7.org/cda/stds/ccda/draft1/StructureDefinition- 2.16.840.1.113883.10.20.22.1.14</v>
      </c>
      <c r="H15" t="str">
        <f t="shared" si="2"/>
        <v>{new:'https://hl7.org/cda/us/ccda/StructureDefinition-ReferralNote.html ', old:'https://hl7.org/cda/stds/ccda/draft1/StructureDefinition- 2.16.840.1.113883.10.20.22.1.14' },</v>
      </c>
    </row>
    <row r="16" spans="1:8" x14ac:dyDescent="0.25">
      <c r="B16" t="s">
        <v>2221</v>
      </c>
      <c r="C16" s="2">
        <v>45413</v>
      </c>
      <c r="D16" t="s">
        <v>2381</v>
      </c>
      <c r="E16" t="s">
        <v>2607</v>
      </c>
      <c r="F16" t="str">
        <f t="shared" si="0"/>
        <v xml:space="preserve">https://hl7.org/cda/us/ccda/StructureDefinition-CarePlan.html </v>
      </c>
      <c r="G16" t="str">
        <f t="shared" si="1"/>
        <v>https://hl7.org/cda/stds/ccda/draft1/StructureDefinition- 2.16.840.1.113883.10.20.22.1.15</v>
      </c>
      <c r="H16" t="str">
        <f t="shared" si="2"/>
        <v>{new:'https://hl7.org/cda/us/ccda/StructureDefinition-CarePlan.html ', old:'https://hl7.org/cda/stds/ccda/draft1/StructureDefinition- 2.16.840.1.113883.10.20.22.1.15' },</v>
      </c>
    </row>
    <row r="17" spans="1:8" x14ac:dyDescent="0.25">
      <c r="B17" t="s">
        <v>2222</v>
      </c>
      <c r="C17" s="2">
        <v>45413</v>
      </c>
      <c r="D17" t="s">
        <v>2382</v>
      </c>
      <c r="E17" t="s">
        <v>2608</v>
      </c>
      <c r="F17" t="str">
        <f t="shared" si="0"/>
        <v xml:space="preserve">https://hl7.org/cda/us/ccda/StructureDefinition-USRealmHeaderforPatientGeneratedDocument.html </v>
      </c>
      <c r="G17" t="str">
        <f t="shared" si="1"/>
        <v>https://hl7.org/cda/stds/ccda/draft1/StructureDefinition- 2.16.840.1.113883.10.20.29.1</v>
      </c>
      <c r="H17" t="str">
        <f t="shared" si="2"/>
        <v>{new:'https://hl7.org/cda/us/ccda/StructureDefinition-USRealmHeaderforPatientGeneratedDocument.html ', old:'https://hl7.org/cda/stds/ccda/draft1/StructureDefinition- 2.16.840.1.113883.10.20.29.1' },</v>
      </c>
    </row>
    <row r="18" spans="1:8" x14ac:dyDescent="0.25">
      <c r="A18" t="s">
        <v>2131</v>
      </c>
      <c r="H18" t="str">
        <f t="shared" si="2"/>
        <v>{new:'', old:'' },</v>
      </c>
    </row>
    <row r="19" spans="1:8" x14ac:dyDescent="0.25">
      <c r="B19" t="s">
        <v>2135</v>
      </c>
      <c r="D19" t="s">
        <v>2136</v>
      </c>
      <c r="H19" t="str">
        <f t="shared" si="2"/>
        <v>{new:'', old:'' },</v>
      </c>
    </row>
    <row r="20" spans="1:8" x14ac:dyDescent="0.25">
      <c r="B20" t="s">
        <v>2137</v>
      </c>
      <c r="D20" t="s">
        <v>2138</v>
      </c>
      <c r="H20" t="str">
        <f t="shared" si="2"/>
        <v>{new:'', old:'' },</v>
      </c>
    </row>
    <row r="21" spans="1:8" x14ac:dyDescent="0.25">
      <c r="B21" t="s">
        <v>2139</v>
      </c>
      <c r="D21" t="s">
        <v>2383</v>
      </c>
      <c r="E21" t="s">
        <v>2609</v>
      </c>
      <c r="F21" t="str">
        <f t="shared" si="0"/>
        <v xml:space="preserve">https://hl7.org/cda/us/ccda/StructureDefinition-ChiefComplaintSection.html </v>
      </c>
      <c r="G21" t="str">
        <f t="shared" si="1"/>
        <v xml:space="preserve">https://hl7.org/cda/stds/ccda/draft1/StructureDefinition- 1.3.6.1.4.1.19376.1.5.3.1.1.13.2.1 </v>
      </c>
      <c r="H21" t="str">
        <f t="shared" si="2"/>
        <v>{new:'https://hl7.org/cda/us/ccda/StructureDefinition-ChiefComplaintSection.html ', old:'https://hl7.org/cda/stds/ccda/draft1/StructureDefinition- 1.3.6.1.4.1.19376.1.5.3.1.1.13.2.1 ' },</v>
      </c>
    </row>
    <row r="22" spans="1:8" x14ac:dyDescent="0.25">
      <c r="B22" t="s">
        <v>2223</v>
      </c>
      <c r="C22" s="2">
        <v>41799</v>
      </c>
      <c r="D22" t="s">
        <v>2384</v>
      </c>
      <c r="E22" t="s">
        <v>2610</v>
      </c>
      <c r="F22" t="str">
        <f t="shared" si="0"/>
        <v xml:space="preserve">https://hl7.org/cda/us/ccda/StructureDefinition-ReasonforReferralSection.html </v>
      </c>
      <c r="G22" t="str">
        <f t="shared" si="1"/>
        <v>https://hl7.org/cda/stds/ccda/draft1/StructureDefinition- 1.3.6.1.4.1.19376.1.5.3.1.3.1</v>
      </c>
      <c r="H22" t="str">
        <f t="shared" si="2"/>
        <v>{new:'https://hl7.org/cda/us/ccda/StructureDefinition-ReasonforReferralSection.html ', old:'https://hl7.org/cda/stds/ccda/draft1/StructureDefinition- 1.3.6.1.4.1.19376.1.5.3.1.3.1' },</v>
      </c>
    </row>
    <row r="23" spans="1:8" x14ac:dyDescent="0.25">
      <c r="B23" t="s">
        <v>2140</v>
      </c>
      <c r="D23" t="s">
        <v>2385</v>
      </c>
      <c r="E23" t="s">
        <v>2611</v>
      </c>
      <c r="F23" t="str">
        <f t="shared" si="0"/>
        <v xml:space="preserve">https://hl7.org/cda/us/ccda/StructureDefinition-HistoryofPresentIllnessSection.html </v>
      </c>
      <c r="G23" t="str">
        <f t="shared" si="1"/>
        <v xml:space="preserve">https://hl7.org/cda/stds/ccda/draft1/StructureDefinition- 1.3.6.1.4.1.19376.1.5.3.1.3.4 </v>
      </c>
      <c r="H23" t="str">
        <f t="shared" si="2"/>
        <v>{new:'https://hl7.org/cda/us/ccda/StructureDefinition-HistoryofPresentIllnessSection.html ', old:'https://hl7.org/cda/stds/ccda/draft1/StructureDefinition- 1.3.6.1.4.1.19376.1.5.3.1.3.4 ' },</v>
      </c>
    </row>
    <row r="24" spans="1:8" x14ac:dyDescent="0.25">
      <c r="B24" t="s">
        <v>2141</v>
      </c>
      <c r="D24" t="s">
        <v>2386</v>
      </c>
      <c r="E24" t="s">
        <v>2612</v>
      </c>
      <c r="F24" t="str">
        <f t="shared" si="0"/>
        <v xml:space="preserve">https://hl7.org/cda/us/ccda/StructureDefinition-HospitalCourseSection.html </v>
      </c>
      <c r="G24" t="str">
        <f t="shared" si="1"/>
        <v xml:space="preserve">https://hl7.org/cda/stds/ccda/draft1/StructureDefinition- 1.3.6.1.4.1.19376.1.5.3.1.3.5 </v>
      </c>
      <c r="H24" t="str">
        <f t="shared" si="2"/>
        <v>{new:'https://hl7.org/cda/us/ccda/StructureDefinition-HospitalCourseSection.html ', old:'https://hl7.org/cda/stds/ccda/draft1/StructureDefinition- 1.3.6.1.4.1.19376.1.5.3.1.3.5 ' },</v>
      </c>
    </row>
    <row r="25" spans="1:8" x14ac:dyDescent="0.25">
      <c r="B25" t="s">
        <v>2142</v>
      </c>
      <c r="D25" t="s">
        <v>2387</v>
      </c>
      <c r="E25" t="s">
        <v>2613</v>
      </c>
      <c r="F25" t="str">
        <f t="shared" si="0"/>
        <v xml:space="preserve">https://hl7.org/cda/us/ccda/StructureDefinition-ReviewofSystemsSection.html </v>
      </c>
      <c r="G25" t="str">
        <f t="shared" si="1"/>
        <v xml:space="preserve">https://hl7.org/cda/stds/ccda/draft1/StructureDefinition- 1.3.6.1.4.1.19376.1.5.3.1.3.18 </v>
      </c>
      <c r="H25" t="str">
        <f t="shared" si="2"/>
        <v>{new:'https://hl7.org/cda/us/ccda/StructureDefinition-ReviewofSystemsSection.html ', old:'https://hl7.org/cda/stds/ccda/draft1/StructureDefinition- 1.3.6.1.4.1.19376.1.5.3.1.3.18 ' },</v>
      </c>
    </row>
    <row r="26" spans="1:8" x14ac:dyDescent="0.25">
      <c r="B26" t="s">
        <v>2143</v>
      </c>
      <c r="D26" t="s">
        <v>2388</v>
      </c>
      <c r="E26" t="s">
        <v>2614</v>
      </c>
      <c r="F26" t="str">
        <f t="shared" si="0"/>
        <v xml:space="preserve">https://hl7.org/cda/us/ccda/StructureDefinition-HospitalDischargePhysicalSection.html </v>
      </c>
      <c r="G26" t="str">
        <f t="shared" si="1"/>
        <v xml:space="preserve">https://hl7.org/cda/stds/ccda/draft1/StructureDefinition- 1.3.6.1.4.1.19376.1.5.3.1.3.26 </v>
      </c>
      <c r="H26" t="str">
        <f t="shared" si="2"/>
        <v>{new:'https://hl7.org/cda/us/ccda/StructureDefinition-HospitalDischargePhysicalSection.html ', old:'https://hl7.org/cda/stds/ccda/draft1/StructureDefinition- 1.3.6.1.4.1.19376.1.5.3.1.3.26 ' },</v>
      </c>
    </row>
    <row r="27" spans="1:8" x14ac:dyDescent="0.25">
      <c r="B27" t="s">
        <v>2144</v>
      </c>
      <c r="D27" t="s">
        <v>2389</v>
      </c>
      <c r="E27" t="s">
        <v>2615</v>
      </c>
      <c r="F27" t="str">
        <f t="shared" si="0"/>
        <v xml:space="preserve">https://hl7.org/cda/us/ccda/StructureDefinition-GeneralStatusSection.html </v>
      </c>
      <c r="G27" t="str">
        <f t="shared" si="1"/>
        <v xml:space="preserve">https://hl7.org/cda/stds/ccda/draft1/StructureDefinition- 2.16.840.1.113883.10.20.2.5 </v>
      </c>
      <c r="H27" t="str">
        <f t="shared" si="2"/>
        <v>{new:'https://hl7.org/cda/us/ccda/StructureDefinition-GeneralStatusSection.html ', old:'https://hl7.org/cda/stds/ccda/draft1/StructureDefinition- 2.16.840.1.113883.10.20.2.5 ' },</v>
      </c>
    </row>
    <row r="28" spans="1:8" x14ac:dyDescent="0.25">
      <c r="B28" t="s">
        <v>2224</v>
      </c>
      <c r="C28" s="2">
        <v>42217</v>
      </c>
      <c r="D28" t="s">
        <v>2390</v>
      </c>
      <c r="E28" t="s">
        <v>2616</v>
      </c>
      <c r="F28" t="str">
        <f t="shared" si="0"/>
        <v xml:space="preserve">https://hl7.org/cda/us/ccda/StructureDefinition-PhysicalExamSection.html </v>
      </c>
      <c r="G28" t="str">
        <f t="shared" si="1"/>
        <v>https://hl7.org/cda/stds/ccda/draft1/StructureDefinition- 2.16.840.1.113883.10.20.2.10</v>
      </c>
      <c r="H28" t="str">
        <f t="shared" si="2"/>
        <v>{new:'https://hl7.org/cda/us/ccda/StructureDefinition-PhysicalExamSection.html ', old:'https://hl7.org/cda/stds/ccda/draft1/StructureDefinition- 2.16.840.1.113883.10.20.2.10' },</v>
      </c>
    </row>
    <row r="29" spans="1:8" x14ac:dyDescent="0.25">
      <c r="B29" t="s">
        <v>2145</v>
      </c>
      <c r="D29" t="s">
        <v>2391</v>
      </c>
      <c r="E29" t="s">
        <v>2617</v>
      </c>
      <c r="F29" t="str">
        <f t="shared" si="0"/>
        <v xml:space="preserve">https://hl7.org/cda/us/ccda/StructureDefinition-OperativeNoteFluidsSection.html </v>
      </c>
      <c r="G29" t="str">
        <f t="shared" si="1"/>
        <v xml:space="preserve">https://hl7.org/cda/stds/ccda/draft1/StructureDefinition- 2.16.840.1.113883.10.20.7.12 </v>
      </c>
      <c r="H29" t="str">
        <f t="shared" si="2"/>
        <v>{new:'https://hl7.org/cda/us/ccda/StructureDefinition-OperativeNoteFluidsSection.html ', old:'https://hl7.org/cda/stds/ccda/draft1/StructureDefinition- 2.16.840.1.113883.10.20.7.12 ' },</v>
      </c>
    </row>
    <row r="30" spans="1:8" x14ac:dyDescent="0.25">
      <c r="B30" t="s">
        <v>2146</v>
      </c>
      <c r="D30" t="s">
        <v>2392</v>
      </c>
      <c r="E30" t="s">
        <v>2618</v>
      </c>
      <c r="F30" t="str">
        <f t="shared" si="0"/>
        <v xml:space="preserve">https://hl7.org/cda/us/ccda/StructureDefinition-SurgicalDrainsSection.html </v>
      </c>
      <c r="G30" t="str">
        <f t="shared" si="1"/>
        <v xml:space="preserve">https://hl7.org/cda/stds/ccda/draft1/StructureDefinition- 2.16.840.1.113883.10.20.7.13 </v>
      </c>
      <c r="H30" t="str">
        <f t="shared" si="2"/>
        <v>{new:'https://hl7.org/cda/us/ccda/StructureDefinition-SurgicalDrainsSection.html ', old:'https://hl7.org/cda/stds/ccda/draft1/StructureDefinition- 2.16.840.1.113883.10.20.7.13 ' },</v>
      </c>
    </row>
    <row r="31" spans="1:8" x14ac:dyDescent="0.25">
      <c r="B31" t="s">
        <v>2147</v>
      </c>
      <c r="D31" t="s">
        <v>2393</v>
      </c>
      <c r="E31" t="s">
        <v>2619</v>
      </c>
      <c r="F31" t="str">
        <f t="shared" si="0"/>
        <v xml:space="preserve">https://hl7.org/cda/us/ccda/StructureDefinition-OperativeNoteSurgicalProcedureSection.html </v>
      </c>
      <c r="G31" t="str">
        <f t="shared" si="1"/>
        <v xml:space="preserve">https://hl7.org/cda/stds/ccda/draft1/StructureDefinition- 2.16.840.1.113883.10.20.7.14 </v>
      </c>
      <c r="H31" t="str">
        <f t="shared" si="2"/>
        <v>{new:'https://hl7.org/cda/us/ccda/StructureDefinition-OperativeNoteSurgicalProcedureSection.html ', old:'https://hl7.org/cda/stds/ccda/draft1/StructureDefinition- 2.16.840.1.113883.10.20.7.14 ' },</v>
      </c>
    </row>
    <row r="32" spans="1:8" x14ac:dyDescent="0.25">
      <c r="B32" t="s">
        <v>2148</v>
      </c>
      <c r="D32" t="s">
        <v>2394</v>
      </c>
      <c r="E32" t="s">
        <v>2620</v>
      </c>
      <c r="F32" t="str">
        <f t="shared" si="0"/>
        <v xml:space="preserve">https://hl7.org/cda/us/ccda/StructureDefinition-ProcedureEstimatedBloodLossSection.html </v>
      </c>
      <c r="G32" t="str">
        <f t="shared" si="1"/>
        <v xml:space="preserve">https://hl7.org/cda/stds/ccda/draft1/StructureDefinition- 2.16.840.1.113883.10.20.18.2.9 </v>
      </c>
      <c r="H32" t="str">
        <f t="shared" si="2"/>
        <v>{new:'https://hl7.org/cda/us/ccda/StructureDefinition-ProcedureEstimatedBloodLossSection.html ', old:'https://hl7.org/cda/stds/ccda/draft1/StructureDefinition- 2.16.840.1.113883.10.20.18.2.9 ' },</v>
      </c>
    </row>
    <row r="33" spans="2:8" x14ac:dyDescent="0.25">
      <c r="B33" t="s">
        <v>2149</v>
      </c>
      <c r="D33" t="s">
        <v>2395</v>
      </c>
      <c r="E33" t="s">
        <v>2621</v>
      </c>
      <c r="F33" t="str">
        <f t="shared" si="0"/>
        <v xml:space="preserve">https://hl7.org/cda/us/ccda/StructureDefinition-ProcedureDispositionSection.html </v>
      </c>
      <c r="G33" t="str">
        <f t="shared" si="1"/>
        <v xml:space="preserve">https://hl7.org/cda/stds/ccda/draft1/StructureDefinition- 2.16.840.1.113883.10.20.18.2.12 </v>
      </c>
      <c r="H33" t="str">
        <f t="shared" si="2"/>
        <v>{new:'https://hl7.org/cda/us/ccda/StructureDefinition-ProcedureDispositionSection.html ', old:'https://hl7.org/cda/stds/ccda/draft1/StructureDefinition- 2.16.840.1.113883.10.20.18.2.12 ' },</v>
      </c>
    </row>
    <row r="34" spans="2:8" x14ac:dyDescent="0.25">
      <c r="B34" t="s">
        <v>2150</v>
      </c>
      <c r="D34" t="s">
        <v>2396</v>
      </c>
      <c r="E34" t="s">
        <v>2622</v>
      </c>
      <c r="F34" t="str">
        <f t="shared" si="0"/>
        <v xml:space="preserve">https://hl7.org/cda/us/ccda/StructureDefinition-ObjectiveSection.html </v>
      </c>
      <c r="G34" t="str">
        <f t="shared" si="1"/>
        <v xml:space="preserve">https://hl7.org/cda/stds/ccda/draft1/StructureDefinition- 2.16.840.1.113883.10.20.21.2.1 </v>
      </c>
      <c r="H34" t="str">
        <f t="shared" si="2"/>
        <v>{new:'https://hl7.org/cda/us/ccda/StructureDefinition-ObjectiveSection.html ', old:'https://hl7.org/cda/stds/ccda/draft1/StructureDefinition- 2.16.840.1.113883.10.20.21.2.1 ' },</v>
      </c>
    </row>
    <row r="35" spans="2:8" x14ac:dyDescent="0.25">
      <c r="B35" t="s">
        <v>2151</v>
      </c>
      <c r="D35" t="s">
        <v>2397</v>
      </c>
      <c r="E35" t="s">
        <v>2623</v>
      </c>
      <c r="F35" t="str">
        <f t="shared" si="0"/>
        <v xml:space="preserve">https://hl7.org/cda/us/ccda/StructureDefinition-SubjectiveSection.html </v>
      </c>
      <c r="G35" t="str">
        <f t="shared" si="1"/>
        <v xml:space="preserve">https://hl7.org/cda/stds/ccda/draft1/StructureDefinition- 2.16.840.1.113883.10.20.21.2.2 </v>
      </c>
      <c r="H35" t="str">
        <f t="shared" si="2"/>
        <v>{new:'https://hl7.org/cda/us/ccda/StructureDefinition-SubjectiveSection.html ', old:'https://hl7.org/cda/stds/ccda/draft1/StructureDefinition- 2.16.840.1.113883.10.20.21.2.2 ' },</v>
      </c>
    </row>
    <row r="36" spans="2:8" x14ac:dyDescent="0.25">
      <c r="B36" t="s">
        <v>2225</v>
      </c>
      <c r="C36" s="2">
        <v>42217</v>
      </c>
      <c r="D36" t="s">
        <v>2398</v>
      </c>
      <c r="E36" t="s">
        <v>2624</v>
      </c>
      <c r="F36" t="str">
        <f t="shared" si="0"/>
        <v xml:space="preserve">https://hl7.org/cda/us/ccda/StructureDefinition-ActivitiesSection.html </v>
      </c>
      <c r="G36" t="str">
        <f t="shared" si="1"/>
        <v>https://hl7.org/cda/stds/ccda/draft1/StructureDefinition- 2.16.840.1.113883.10.20.21.2.3</v>
      </c>
      <c r="H36" t="str">
        <f t="shared" si="2"/>
        <v>{new:'https://hl7.org/cda/us/ccda/StructureDefinition-ActivitiesSection.html ', old:'https://hl7.org/cda/stds/ccda/draft1/StructureDefinition- 2.16.840.1.113883.10.20.21.2.3' },</v>
      </c>
    </row>
    <row r="37" spans="2:8" x14ac:dyDescent="0.25">
      <c r="B37" t="s">
        <v>2226</v>
      </c>
      <c r="C37" s="2">
        <v>41799</v>
      </c>
      <c r="D37" t="s">
        <v>2399</v>
      </c>
      <c r="E37" t="s">
        <v>2625</v>
      </c>
      <c r="F37" t="str">
        <f t="shared" si="0"/>
        <v xml:space="preserve">https://hl7.org/cda/us/ccda/StructureDefinition-MedicationsSection.html </v>
      </c>
      <c r="G37" t="str">
        <f t="shared" si="1"/>
        <v>https://hl7.org/cda/stds/ccda/draft1/StructureDefinition- 2.16.840.1.113883.10.20.22.2.1.1</v>
      </c>
      <c r="H37" t="str">
        <f t="shared" si="2"/>
        <v>{new:'https://hl7.org/cda/us/ccda/StructureDefinition-MedicationsSection.html ', old:'https://hl7.org/cda/stds/ccda/draft1/StructureDefinition- 2.16.840.1.113883.10.20.22.2.1.1' },</v>
      </c>
    </row>
    <row r="38" spans="2:8" x14ac:dyDescent="0.25">
      <c r="B38" t="s">
        <v>2227</v>
      </c>
      <c r="C38" s="2">
        <v>42217</v>
      </c>
      <c r="D38" t="s">
        <v>2400</v>
      </c>
      <c r="E38" t="s">
        <v>2626</v>
      </c>
      <c r="F38" t="str">
        <f t="shared" si="0"/>
        <v xml:space="preserve">https://hl7.org/cda/us/ccda/StructureDefinition-ImmunizationsSection.html </v>
      </c>
      <c r="G38" t="str">
        <f t="shared" si="1"/>
        <v>https://hl7.org/cda/stds/ccda/draft1/StructureDefinition- 2.16.840.1.113883.10.20.22.2.2.1</v>
      </c>
      <c r="H38" t="str">
        <f t="shared" si="2"/>
        <v>{new:'https://hl7.org/cda/us/ccda/StructureDefinition-ImmunizationsSection.html ', old:'https://hl7.org/cda/stds/ccda/draft1/StructureDefinition- 2.16.840.1.113883.10.20.22.2.2.1' },</v>
      </c>
    </row>
    <row r="39" spans="2:8" x14ac:dyDescent="0.25">
      <c r="B39" t="s">
        <v>2228</v>
      </c>
      <c r="C39" s="2">
        <v>42217</v>
      </c>
      <c r="D39" t="s">
        <v>2401</v>
      </c>
      <c r="E39" t="s">
        <v>2627</v>
      </c>
      <c r="F39" t="str">
        <f t="shared" si="0"/>
        <v xml:space="preserve">https://hl7.org/cda/us/ccda/StructureDefinition-ResultsSection.html </v>
      </c>
      <c r="G39" t="str">
        <f t="shared" si="1"/>
        <v>https://hl7.org/cda/stds/ccda/draft1/StructureDefinition- 2.16.840.1.113883.10.20.22.2.3.1</v>
      </c>
      <c r="H39" t="str">
        <f t="shared" si="2"/>
        <v>{new:'https://hl7.org/cda/us/ccda/StructureDefinition-ResultsSection.html ', old:'https://hl7.org/cda/stds/ccda/draft1/StructureDefinition- 2.16.840.1.113883.10.20.22.2.3.1' },</v>
      </c>
    </row>
    <row r="40" spans="2:8" x14ac:dyDescent="0.25">
      <c r="B40" t="s">
        <v>2229</v>
      </c>
      <c r="C40" s="2">
        <v>42217</v>
      </c>
      <c r="D40" t="s">
        <v>2402</v>
      </c>
      <c r="E40" t="s">
        <v>2628</v>
      </c>
      <c r="F40" t="str">
        <f t="shared" si="0"/>
        <v xml:space="preserve">https://hl7.org/cda/us/ccda/StructureDefinition-VitalSignsSection.html </v>
      </c>
      <c r="G40" t="str">
        <f t="shared" si="1"/>
        <v>https://hl7.org/cda/stds/ccda/draft1/StructureDefinition- 2.16.840.1.113883.10.20.22.2.4.1</v>
      </c>
      <c r="H40" t="str">
        <f t="shared" si="2"/>
        <v>{new:'https://hl7.org/cda/us/ccda/StructureDefinition-VitalSignsSection.html ', old:'https://hl7.org/cda/stds/ccda/draft1/StructureDefinition- 2.16.840.1.113883.10.20.22.2.4.1' },</v>
      </c>
    </row>
    <row r="41" spans="2:8" x14ac:dyDescent="0.25">
      <c r="B41" t="s">
        <v>2230</v>
      </c>
      <c r="C41" s="2">
        <v>42217</v>
      </c>
      <c r="D41" t="s">
        <v>2403</v>
      </c>
      <c r="E41" t="s">
        <v>2629</v>
      </c>
      <c r="F41" t="str">
        <f t="shared" si="0"/>
        <v xml:space="preserve">https://hl7.org/cda/us/ccda/StructureDefinition-ProblemSection.html </v>
      </c>
      <c r="G41" t="str">
        <f t="shared" si="1"/>
        <v>https://hl7.org/cda/stds/ccda/draft1/StructureDefinition- 2.16.840.1.113883.10.20.22.2.5.1</v>
      </c>
      <c r="H41" t="str">
        <f t="shared" si="2"/>
        <v>{new:'https://hl7.org/cda/us/ccda/StructureDefinition-ProblemSection.html ', old:'https://hl7.org/cda/stds/ccda/draft1/StructureDefinition- 2.16.840.1.113883.10.20.22.2.5.1' },</v>
      </c>
    </row>
    <row r="42" spans="2:8" x14ac:dyDescent="0.25">
      <c r="B42" t="s">
        <v>2231</v>
      </c>
      <c r="C42" s="2">
        <v>42217</v>
      </c>
      <c r="D42" t="s">
        <v>2404</v>
      </c>
      <c r="E42" t="s">
        <v>2630</v>
      </c>
      <c r="F42" t="str">
        <f t="shared" si="0"/>
        <v xml:space="preserve">https://hl7.org/cda/us/ccda/StructureDefinition-AllergiesAndIntolerancesSection.html </v>
      </c>
      <c r="G42" t="str">
        <f t="shared" si="1"/>
        <v>https://hl7.org/cda/stds/ccda/draft1/StructureDefinition- 2.16.840.1.113883.10.20.22.2.6.1</v>
      </c>
      <c r="H42" t="str">
        <f t="shared" si="2"/>
        <v>{new:'https://hl7.org/cda/us/ccda/StructureDefinition-AllergiesAndIntolerancesSection.html ', old:'https://hl7.org/cda/stds/ccda/draft1/StructureDefinition- 2.16.840.1.113883.10.20.22.2.6.1' },</v>
      </c>
    </row>
    <row r="43" spans="2:8" x14ac:dyDescent="0.25">
      <c r="B43" t="s">
        <v>2232</v>
      </c>
      <c r="C43" s="2">
        <v>41799</v>
      </c>
      <c r="D43" t="s">
        <v>2405</v>
      </c>
      <c r="E43" t="s">
        <v>2631</v>
      </c>
      <c r="F43" t="str">
        <f t="shared" si="0"/>
        <v xml:space="preserve">https://hl7.org/cda/us/ccda/StructureDefinition-ProceduresSection.html </v>
      </c>
      <c r="G43" t="str">
        <f t="shared" si="1"/>
        <v>https://hl7.org/cda/stds/ccda/draft1/StructureDefinition- 2.16.840.1.113883.10.20.22.2.7.1</v>
      </c>
      <c r="H43" t="str">
        <f t="shared" si="2"/>
        <v>{new:'https://hl7.org/cda/us/ccda/StructureDefinition-ProceduresSection.html ', old:'https://hl7.org/cda/stds/ccda/draft1/StructureDefinition- 2.16.840.1.113883.10.20.22.2.7.1' },</v>
      </c>
    </row>
    <row r="44" spans="2:8" x14ac:dyDescent="0.25">
      <c r="B44" t="s">
        <v>2152</v>
      </c>
      <c r="D44" t="s">
        <v>2406</v>
      </c>
      <c r="E44" t="s">
        <v>2632</v>
      </c>
      <c r="F44" t="str">
        <f t="shared" si="0"/>
        <v xml:space="preserve">https://hl7.org/cda/us/ccda/StructureDefinition-AssessmentSection.html </v>
      </c>
      <c r="G44" t="str">
        <f t="shared" si="1"/>
        <v xml:space="preserve">https://hl7.org/cda/stds/ccda/draft1/StructureDefinition- 2.16.840.1.113883.10.20.22.2.8 </v>
      </c>
      <c r="H44" t="str">
        <f t="shared" si="2"/>
        <v>{new:'https://hl7.org/cda/us/ccda/StructureDefinition-AssessmentSection.html ', old:'https://hl7.org/cda/stds/ccda/draft1/StructureDefinition- 2.16.840.1.113883.10.20.22.2.8 ' },</v>
      </c>
    </row>
    <row r="45" spans="2:8" x14ac:dyDescent="0.25">
      <c r="B45" t="s">
        <v>2233</v>
      </c>
      <c r="C45" s="2">
        <v>41799</v>
      </c>
      <c r="D45" t="s">
        <v>2407</v>
      </c>
      <c r="E45" t="s">
        <v>2633</v>
      </c>
      <c r="F45" t="str">
        <f t="shared" si="0"/>
        <v xml:space="preserve">https://hl7.org/cda/us/ccda/StructureDefinition-AssessmentandPlanSection.html </v>
      </c>
      <c r="G45" t="str">
        <f t="shared" si="1"/>
        <v>https://hl7.org/cda/stds/ccda/draft1/StructureDefinition- 2.16.840.1.113883.10.20.22.2.9</v>
      </c>
      <c r="H45" t="str">
        <f t="shared" si="2"/>
        <v>{new:'https://hl7.org/cda/us/ccda/StructureDefinition-AssessmentandPlanSection.html ', old:'https://hl7.org/cda/stds/ccda/draft1/StructureDefinition- 2.16.840.1.113883.10.20.22.2.9' },</v>
      </c>
    </row>
    <row r="46" spans="2:8" x14ac:dyDescent="0.25">
      <c r="B46" t="s">
        <v>2234</v>
      </c>
      <c r="C46" s="2">
        <v>41799</v>
      </c>
      <c r="D46" t="s">
        <v>2408</v>
      </c>
      <c r="E46" t="s">
        <v>2634</v>
      </c>
      <c r="F46" t="str">
        <f t="shared" si="0"/>
        <v xml:space="preserve">https://hl7.org/cda/us/ccda/StructureDefinition-PlanofTreatmentSection.html </v>
      </c>
      <c r="G46" t="str">
        <f t="shared" si="1"/>
        <v>https://hl7.org/cda/stds/ccda/draft1/StructureDefinition- 2.16.840.1.113883.10.20.22.2.10</v>
      </c>
      <c r="H46" t="str">
        <f t="shared" si="2"/>
        <v>{new:'https://hl7.org/cda/us/ccda/StructureDefinition-PlanofTreatmentSection.html ', old:'https://hl7.org/cda/stds/ccda/draft1/StructureDefinition- 2.16.840.1.113883.10.20.22.2.10' },</v>
      </c>
    </row>
    <row r="47" spans="2:8" x14ac:dyDescent="0.25">
      <c r="B47" t="s">
        <v>2235</v>
      </c>
      <c r="C47" s="2">
        <v>42217</v>
      </c>
      <c r="D47" t="s">
        <v>2409</v>
      </c>
      <c r="E47" t="s">
        <v>2635</v>
      </c>
      <c r="F47" t="str">
        <f t="shared" si="0"/>
        <v xml:space="preserve">https://hl7.org/cda/us/ccda/StructureDefinition-DischargeMedicationsSection.html </v>
      </c>
      <c r="G47" t="str">
        <f t="shared" si="1"/>
        <v>https://hl7.org/cda/stds/ccda/draft1/StructureDefinition- 2.16.840.1.113883.10.20.22.2.11.1</v>
      </c>
      <c r="H47" t="str">
        <f t="shared" si="2"/>
        <v>{new:'https://hl7.org/cda/us/ccda/StructureDefinition-DischargeMedicationsSection.html ', old:'https://hl7.org/cda/stds/ccda/draft1/StructureDefinition- 2.16.840.1.113883.10.20.22.2.11.1' },</v>
      </c>
    </row>
    <row r="48" spans="2:8" x14ac:dyDescent="0.25">
      <c r="B48" t="s">
        <v>2153</v>
      </c>
      <c r="D48" t="s">
        <v>2410</v>
      </c>
      <c r="E48" t="s">
        <v>2636</v>
      </c>
      <c r="F48" t="str">
        <f t="shared" si="0"/>
        <v xml:space="preserve">https://hl7.org/cda/us/ccda/StructureDefinition-ReasonforVisitSection.html </v>
      </c>
      <c r="G48" t="str">
        <f t="shared" si="1"/>
        <v xml:space="preserve">https://hl7.org/cda/stds/ccda/draft1/StructureDefinition- 2.16.840.1.113883.10.20.22.2.12 </v>
      </c>
      <c r="H48" t="str">
        <f t="shared" si="2"/>
        <v>{new:'https://hl7.org/cda/us/ccda/StructureDefinition-ReasonforVisitSection.html ', old:'https://hl7.org/cda/stds/ccda/draft1/StructureDefinition- 2.16.840.1.113883.10.20.22.2.12 ' },</v>
      </c>
    </row>
    <row r="49" spans="2:8" x14ac:dyDescent="0.25">
      <c r="B49" t="s">
        <v>2154</v>
      </c>
      <c r="D49" t="s">
        <v>2411</v>
      </c>
      <c r="E49" t="s">
        <v>2637</v>
      </c>
      <c r="F49" t="str">
        <f t="shared" si="0"/>
        <v xml:space="preserve">https://hl7.org/cda/us/ccda/StructureDefinition-ChiefComplaintandReasonforVisitSection.html </v>
      </c>
      <c r="G49" t="str">
        <f t="shared" si="1"/>
        <v xml:space="preserve">https://hl7.org/cda/stds/ccda/draft1/StructureDefinition- 2.16.840.1.113883.10.20.22.2.13 </v>
      </c>
      <c r="H49" t="str">
        <f t="shared" si="2"/>
        <v>{new:'https://hl7.org/cda/us/ccda/StructureDefinition-ChiefComplaintandReasonforVisitSection.html ', old:'https://hl7.org/cda/stds/ccda/draft1/StructureDefinition- 2.16.840.1.113883.10.20.22.2.13 ' },</v>
      </c>
    </row>
    <row r="50" spans="2:8" x14ac:dyDescent="0.25">
      <c r="B50" t="s">
        <v>2236</v>
      </c>
      <c r="C50" s="2">
        <v>41799</v>
      </c>
      <c r="D50" t="s">
        <v>2412</v>
      </c>
      <c r="E50" t="s">
        <v>2638</v>
      </c>
      <c r="F50" t="str">
        <f t="shared" si="0"/>
        <v xml:space="preserve">https://hl7.org/cda/us/ccda/StructureDefinition-FunctionalStatusSection.html </v>
      </c>
      <c r="G50" t="str">
        <f t="shared" si="1"/>
        <v>https://hl7.org/cda/stds/ccda/draft1/StructureDefinition- 2.16.840.1.113883.10.20.22.2.14</v>
      </c>
      <c r="H50" t="str">
        <f t="shared" si="2"/>
        <v>{new:'https://hl7.org/cda/us/ccda/StructureDefinition-FunctionalStatusSection.html ', old:'https://hl7.org/cda/stds/ccda/draft1/StructureDefinition- 2.16.840.1.113883.10.20.22.2.14' },</v>
      </c>
    </row>
    <row r="51" spans="2:8" x14ac:dyDescent="0.25">
      <c r="B51" t="s">
        <v>2237</v>
      </c>
      <c r="C51" s="2">
        <v>42217</v>
      </c>
      <c r="D51" t="s">
        <v>2413</v>
      </c>
      <c r="E51" t="s">
        <v>2639</v>
      </c>
      <c r="F51" t="str">
        <f t="shared" si="0"/>
        <v xml:space="preserve">https://hl7.org/cda/us/ccda/StructureDefinition-FamilyHistorySection.html </v>
      </c>
      <c r="G51" t="str">
        <f t="shared" si="1"/>
        <v>https://hl7.org/cda/stds/ccda/draft1/StructureDefinition- 2.16.840.1.113883.10.20.22.2.15</v>
      </c>
      <c r="H51" t="str">
        <f t="shared" si="2"/>
        <v>{new:'https://hl7.org/cda/us/ccda/StructureDefinition-FamilyHistorySection.html ', old:'https://hl7.org/cda/stds/ccda/draft1/StructureDefinition- 2.16.840.1.113883.10.20.22.2.15' },</v>
      </c>
    </row>
    <row r="52" spans="2:8" x14ac:dyDescent="0.25">
      <c r="B52" t="s">
        <v>2155</v>
      </c>
      <c r="D52" t="s">
        <v>2414</v>
      </c>
      <c r="E52" t="s">
        <v>2640</v>
      </c>
      <c r="F52" t="str">
        <f t="shared" si="0"/>
        <v xml:space="preserve">https://hl7.org/cda/us/ccda/StructureDefinition-HospitalDischargeStudiesSummarySection.html </v>
      </c>
      <c r="G52" t="str">
        <f t="shared" si="1"/>
        <v xml:space="preserve">https://hl7.org/cda/stds/ccda/draft1/StructureDefinition- 2.16.840.1.113883.10.20.22.2.16 </v>
      </c>
      <c r="H52" t="str">
        <f t="shared" si="2"/>
        <v>{new:'https://hl7.org/cda/us/ccda/StructureDefinition-HospitalDischargeStudiesSummarySection.html ', old:'https://hl7.org/cda/stds/ccda/draft1/StructureDefinition- 2.16.840.1.113883.10.20.22.2.16 ' },</v>
      </c>
    </row>
    <row r="53" spans="2:8" x14ac:dyDescent="0.25">
      <c r="B53" t="s">
        <v>2238</v>
      </c>
      <c r="C53" s="2">
        <v>42217</v>
      </c>
      <c r="D53" t="s">
        <v>2415</v>
      </c>
      <c r="E53" t="s">
        <v>2641</v>
      </c>
      <c r="F53" t="str">
        <f t="shared" si="0"/>
        <v xml:space="preserve">https://hl7.org/cda/us/ccda/StructureDefinition-SocialHistorySection.html </v>
      </c>
      <c r="G53" t="str">
        <f t="shared" si="1"/>
        <v>https://hl7.org/cda/stds/ccda/draft1/StructureDefinition- 2.16.840.1.113883.10.20.22.2.17</v>
      </c>
      <c r="H53" t="str">
        <f t="shared" si="2"/>
        <v>{new:'https://hl7.org/cda/us/ccda/StructureDefinition-SocialHistorySection.html ', old:'https://hl7.org/cda/stds/ccda/draft1/StructureDefinition- 2.16.840.1.113883.10.20.22.2.17' },</v>
      </c>
    </row>
    <row r="54" spans="2:8" x14ac:dyDescent="0.25">
      <c r="B54" t="s">
        <v>2239</v>
      </c>
      <c r="C54" s="2">
        <v>42217</v>
      </c>
      <c r="D54" t="s">
        <v>2416</v>
      </c>
      <c r="E54" t="s">
        <v>2642</v>
      </c>
      <c r="F54" t="str">
        <f t="shared" si="0"/>
        <v xml:space="preserve">https://hl7.org/cda/us/ccda/StructureDefinition-PayersSection.html </v>
      </c>
      <c r="G54" t="str">
        <f t="shared" si="1"/>
        <v>https://hl7.org/cda/stds/ccda/draft1/StructureDefinition- 2.16.840.1.113883.10.20.22.2.18</v>
      </c>
      <c r="H54" t="str">
        <f t="shared" si="2"/>
        <v>{new:'https://hl7.org/cda/us/ccda/StructureDefinition-PayersSection.html ', old:'https://hl7.org/cda/stds/ccda/draft1/StructureDefinition- 2.16.840.1.113883.10.20.22.2.18' },</v>
      </c>
    </row>
    <row r="55" spans="2:8" x14ac:dyDescent="0.25">
      <c r="B55" t="s">
        <v>2240</v>
      </c>
      <c r="C55" s="2">
        <v>42217</v>
      </c>
      <c r="D55" t="s">
        <v>2417</v>
      </c>
      <c r="E55" t="s">
        <v>2643</v>
      </c>
      <c r="F55" t="str">
        <f t="shared" si="0"/>
        <v xml:space="preserve">https://hl7.org/cda/us/ccda/StructureDefinition-PastMedicalHistory.html </v>
      </c>
      <c r="G55" t="str">
        <f t="shared" si="1"/>
        <v>https://hl7.org/cda/stds/ccda/draft1/StructureDefinition- 2.16.840.1.113883.10.20.22.2.20</v>
      </c>
      <c r="H55" t="str">
        <f t="shared" si="2"/>
        <v>{new:'https://hl7.org/cda/us/ccda/StructureDefinition-PastMedicalHistory.html ', old:'https://hl7.org/cda/stds/ccda/draft1/StructureDefinition- 2.16.840.1.113883.10.20.22.2.20' },</v>
      </c>
    </row>
    <row r="56" spans="2:8" x14ac:dyDescent="0.25">
      <c r="B56" t="s">
        <v>2241</v>
      </c>
      <c r="C56" s="2">
        <v>44606</v>
      </c>
      <c r="D56" t="s">
        <v>2418</v>
      </c>
      <c r="E56" t="s">
        <v>2644</v>
      </c>
      <c r="F56" t="str">
        <f t="shared" si="0"/>
        <v xml:space="preserve">https://hl7.org/cda/us/ccda/StructureDefinition-AdvanceDirectivesSection.html </v>
      </c>
      <c r="G56" t="str">
        <f t="shared" si="1"/>
        <v>https://hl7.org/cda/stds/ccda/draft1/StructureDefinition- 2.16.840.1.113883.10.20.22.2.21.1</v>
      </c>
      <c r="H56" t="str">
        <f t="shared" si="2"/>
        <v>{new:'https://hl7.org/cda/us/ccda/StructureDefinition-AdvanceDirectivesSection.html ', old:'https://hl7.org/cda/stds/ccda/draft1/StructureDefinition- 2.16.840.1.113883.10.20.22.2.21.1' },</v>
      </c>
    </row>
    <row r="57" spans="2:8" x14ac:dyDescent="0.25">
      <c r="B57" t="s">
        <v>2242</v>
      </c>
      <c r="C57" s="2">
        <v>42217</v>
      </c>
      <c r="D57" t="s">
        <v>2419</v>
      </c>
      <c r="E57" t="s">
        <v>2645</v>
      </c>
      <c r="F57" t="str">
        <f t="shared" si="0"/>
        <v xml:space="preserve">https://hl7.org/cda/us/ccda/StructureDefinition-EncountersSection.html </v>
      </c>
      <c r="G57" t="str">
        <f t="shared" si="1"/>
        <v>https://hl7.org/cda/stds/ccda/draft1/StructureDefinition- 2.16.840.1.113883.10.20.22.2.22.1</v>
      </c>
      <c r="H57" t="str">
        <f t="shared" si="2"/>
        <v>{new:'https://hl7.org/cda/us/ccda/StructureDefinition-EncountersSection.html ', old:'https://hl7.org/cda/stds/ccda/draft1/StructureDefinition- 2.16.840.1.113883.10.20.22.2.22.1' },</v>
      </c>
    </row>
    <row r="58" spans="2:8" x14ac:dyDescent="0.25">
      <c r="B58" t="s">
        <v>2243</v>
      </c>
      <c r="C58" s="2">
        <v>41799</v>
      </c>
      <c r="D58" t="s">
        <v>2420</v>
      </c>
      <c r="E58" t="s">
        <v>2646</v>
      </c>
      <c r="F58" t="str">
        <f t="shared" si="0"/>
        <v xml:space="preserve">https://hl7.org/cda/us/ccda/StructureDefinition-MedicalEquipmentSection.html </v>
      </c>
      <c r="G58" t="str">
        <f t="shared" si="1"/>
        <v>https://hl7.org/cda/stds/ccda/draft1/StructureDefinition- 2.16.840.1.113883.10.20.22.2.23</v>
      </c>
      <c r="H58" t="str">
        <f t="shared" si="2"/>
        <v>{new:'https://hl7.org/cda/us/ccda/StructureDefinition-MedicalEquipmentSection.html ', old:'https://hl7.org/cda/stds/ccda/draft1/StructureDefinition- 2.16.840.1.113883.10.20.22.2.23' },</v>
      </c>
    </row>
    <row r="59" spans="2:8" x14ac:dyDescent="0.25">
      <c r="B59" t="s">
        <v>2244</v>
      </c>
      <c r="C59" s="2">
        <v>42217</v>
      </c>
      <c r="D59" t="s">
        <v>2421</v>
      </c>
      <c r="E59" t="s">
        <v>2647</v>
      </c>
      <c r="F59" t="str">
        <f t="shared" si="0"/>
        <v xml:space="preserve">https://hl7.org/cda/us/ccda/StructureDefinition-DischargeDiagnosisSection.html </v>
      </c>
      <c r="G59" t="str">
        <f t="shared" si="1"/>
        <v>https://hl7.org/cda/stds/ccda/draft1/StructureDefinition- 2.16.840.1.113883.10.20.22.2.24</v>
      </c>
      <c r="H59" t="str">
        <f t="shared" si="2"/>
        <v>{new:'https://hl7.org/cda/us/ccda/StructureDefinition-DischargeDiagnosisSection.html ', old:'https://hl7.org/cda/stds/ccda/draft1/StructureDefinition- 2.16.840.1.113883.10.20.22.2.24' },</v>
      </c>
    </row>
    <row r="60" spans="2:8" x14ac:dyDescent="0.25">
      <c r="B60" t="s">
        <v>2245</v>
      </c>
      <c r="C60" s="2">
        <v>41799</v>
      </c>
      <c r="D60" t="s">
        <v>2422</v>
      </c>
      <c r="E60" t="s">
        <v>2648</v>
      </c>
      <c r="F60" t="str">
        <f t="shared" si="0"/>
        <v xml:space="preserve">https://hl7.org/cda/us/ccda/StructureDefinition-AnesthesiaSection.html </v>
      </c>
      <c r="G60" t="str">
        <f t="shared" si="1"/>
        <v>https://hl7.org/cda/stds/ccda/draft1/StructureDefinition- 2.16.840.1.113883.10.20.22.2.25</v>
      </c>
      <c r="H60" t="str">
        <f t="shared" si="2"/>
        <v>{new:'https://hl7.org/cda/us/ccda/StructureDefinition-AnesthesiaSection.html ', old:'https://hl7.org/cda/stds/ccda/draft1/StructureDefinition- 2.16.840.1.113883.10.20.22.2.25' },</v>
      </c>
    </row>
    <row r="61" spans="2:8" x14ac:dyDescent="0.25">
      <c r="B61" t="s">
        <v>2156</v>
      </c>
      <c r="D61" t="s">
        <v>2423</v>
      </c>
      <c r="E61" t="s">
        <v>2649</v>
      </c>
      <c r="F61" t="str">
        <f t="shared" si="0"/>
        <v xml:space="preserve">https://hl7.org/cda/us/ccda/StructureDefinition-ProcedureDescriptionSection.html </v>
      </c>
      <c r="G61" t="str">
        <f t="shared" si="1"/>
        <v xml:space="preserve">https://hl7.org/cda/stds/ccda/draft1/StructureDefinition- 2.16.840.1.113883.10.20.22.2.27 </v>
      </c>
      <c r="H61" t="str">
        <f t="shared" si="2"/>
        <v>{new:'https://hl7.org/cda/us/ccda/StructureDefinition-ProcedureDescriptionSection.html ', old:'https://hl7.org/cda/stds/ccda/draft1/StructureDefinition- 2.16.840.1.113883.10.20.22.2.27 ' },</v>
      </c>
    </row>
    <row r="62" spans="2:8" x14ac:dyDescent="0.25">
      <c r="B62" t="s">
        <v>2246</v>
      </c>
      <c r="C62" s="2">
        <v>42217</v>
      </c>
      <c r="D62" t="s">
        <v>2424</v>
      </c>
      <c r="E62" t="s">
        <v>2650</v>
      </c>
      <c r="F62" t="str">
        <f t="shared" si="0"/>
        <v xml:space="preserve">https://hl7.org/cda/us/ccda/StructureDefinition-ProcedureFindingsSection.html </v>
      </c>
      <c r="G62" t="str">
        <f t="shared" si="1"/>
        <v>https://hl7.org/cda/stds/ccda/draft1/StructureDefinition- 2.16.840.1.113883.10.20.22.2.28</v>
      </c>
      <c r="H62" t="str">
        <f t="shared" si="2"/>
        <v>{new:'https://hl7.org/cda/us/ccda/StructureDefinition-ProcedureFindingsSection.html ', old:'https://hl7.org/cda/stds/ccda/draft1/StructureDefinition- 2.16.840.1.113883.10.20.22.2.28' },</v>
      </c>
    </row>
    <row r="63" spans="2:8" x14ac:dyDescent="0.25">
      <c r="B63" t="s">
        <v>2247</v>
      </c>
      <c r="C63" s="2">
        <v>41799</v>
      </c>
      <c r="D63" t="s">
        <v>2425</v>
      </c>
      <c r="E63" t="s">
        <v>2651</v>
      </c>
      <c r="F63" t="str">
        <f t="shared" si="0"/>
        <v xml:space="preserve">https://hl7.org/cda/us/ccda/StructureDefinition-ProcedureIndicationsSection.html </v>
      </c>
      <c r="G63" t="str">
        <f t="shared" si="1"/>
        <v>https://hl7.org/cda/stds/ccda/draft1/StructureDefinition- 2.16.840.1.113883.10.20.22.2.29</v>
      </c>
      <c r="H63" t="str">
        <f t="shared" si="2"/>
        <v>{new:'https://hl7.org/cda/us/ccda/StructureDefinition-ProcedureIndicationsSection.html ', old:'https://hl7.org/cda/stds/ccda/draft1/StructureDefinition- 2.16.840.1.113883.10.20.22.2.29' },</v>
      </c>
    </row>
    <row r="64" spans="2:8" x14ac:dyDescent="0.25">
      <c r="B64" t="s">
        <v>2248</v>
      </c>
      <c r="C64" s="2">
        <v>41799</v>
      </c>
      <c r="D64" t="s">
        <v>2426</v>
      </c>
      <c r="E64" t="s">
        <v>2652</v>
      </c>
      <c r="F64" t="str">
        <f t="shared" si="0"/>
        <v xml:space="preserve">https://hl7.org/cda/us/ccda/StructureDefinition-PlannedProcedureSection.html </v>
      </c>
      <c r="G64" t="str">
        <f t="shared" si="1"/>
        <v>https://hl7.org/cda/stds/ccda/draft1/StructureDefinition- 2.16.840.1.113883.10.20.22.2.30</v>
      </c>
      <c r="H64" t="str">
        <f t="shared" si="2"/>
        <v>{new:'https://hl7.org/cda/us/ccda/StructureDefinition-PlannedProcedureSection.html ', old:'https://hl7.org/cda/stds/ccda/draft1/StructureDefinition- 2.16.840.1.113883.10.20.22.2.30' },</v>
      </c>
    </row>
    <row r="65" spans="2:8" x14ac:dyDescent="0.25">
      <c r="B65" t="s">
        <v>2157</v>
      </c>
      <c r="D65" t="s">
        <v>2427</v>
      </c>
      <c r="E65" t="s">
        <v>2653</v>
      </c>
      <c r="F65" t="str">
        <f t="shared" si="0"/>
        <v xml:space="preserve">https://hl7.org/cda/us/ccda/StructureDefinition-ProcedureSpecimensTakenSection.html </v>
      </c>
      <c r="G65" t="str">
        <f t="shared" si="1"/>
        <v xml:space="preserve">https://hl7.org/cda/stds/ccda/draft1/StructureDefinition- 2.16.840.1.113883.10.20.22.2.31 </v>
      </c>
      <c r="H65" t="str">
        <f t="shared" si="2"/>
        <v>{new:'https://hl7.org/cda/us/ccda/StructureDefinition-ProcedureSpecimensTakenSection.html ', old:'https://hl7.org/cda/stds/ccda/draft1/StructureDefinition- 2.16.840.1.113883.10.20.22.2.31 ' },</v>
      </c>
    </row>
    <row r="66" spans="2:8" x14ac:dyDescent="0.25">
      <c r="B66" t="s">
        <v>2249</v>
      </c>
      <c r="C66" s="2">
        <v>42217</v>
      </c>
      <c r="D66" t="s">
        <v>2428</v>
      </c>
      <c r="E66" t="s">
        <v>2654</v>
      </c>
      <c r="F66" t="str">
        <f t="shared" si="0"/>
        <v xml:space="preserve">https://hl7.org/cda/us/ccda/StructureDefinition-PreoperativeDiagnosisSection.html </v>
      </c>
      <c r="G66" t="str">
        <f t="shared" si="1"/>
        <v>https://hl7.org/cda/stds/ccda/draft1/StructureDefinition- 2.16.840.1.113883.10.20.22.2.34</v>
      </c>
      <c r="H66" t="str">
        <f t="shared" si="2"/>
        <v>{new:'https://hl7.org/cda/us/ccda/StructureDefinition-PreoperativeDiagnosisSection.html ', old:'https://hl7.org/cda/stds/ccda/draft1/StructureDefinition- 2.16.840.1.113883.10.20.22.2.34' },</v>
      </c>
    </row>
    <row r="67" spans="2:8" x14ac:dyDescent="0.25">
      <c r="B67" t="s">
        <v>2158</v>
      </c>
      <c r="D67" t="s">
        <v>2429</v>
      </c>
      <c r="E67" t="s">
        <v>2655</v>
      </c>
      <c r="F67" t="str">
        <f t="shared" ref="F67:F127" si="3">"https://hl7.org/cda/us/ccda/"&amp;E67</f>
        <v xml:space="preserve">https://hl7.org/cda/us/ccda/StructureDefinition-PostoperativeDiagnosisSection.html </v>
      </c>
      <c r="G67" t="str">
        <f t="shared" ref="G67:G127" si="4">"https://hl7.org/cda/stds/ccda/draft1/StructureDefinition-"&amp;B67</f>
        <v xml:space="preserve">https://hl7.org/cda/stds/ccda/draft1/StructureDefinition- 2.16.840.1.113883.10.20.22.2.35 </v>
      </c>
      <c r="H67" t="str">
        <f t="shared" si="2"/>
        <v>{new:'https://hl7.org/cda/us/ccda/StructureDefinition-PostoperativeDiagnosisSection.html ', old:'https://hl7.org/cda/stds/ccda/draft1/StructureDefinition- 2.16.840.1.113883.10.20.22.2.35 ' },</v>
      </c>
    </row>
    <row r="68" spans="2:8" x14ac:dyDescent="0.25">
      <c r="B68" t="s">
        <v>2250</v>
      </c>
      <c r="C68" s="2">
        <v>42217</v>
      </c>
      <c r="D68" t="s">
        <v>2430</v>
      </c>
      <c r="E68" t="s">
        <v>2656</v>
      </c>
      <c r="F68" t="str">
        <f t="shared" si="3"/>
        <v xml:space="preserve">https://hl7.org/cda/us/ccda/StructureDefinition-PostprocedureDiagnosisSection.html </v>
      </c>
      <c r="G68" t="str">
        <f t="shared" si="4"/>
        <v>https://hl7.org/cda/stds/ccda/draft1/StructureDefinition- 2.16.840.1.113883.10.20.22.2.36</v>
      </c>
      <c r="H68" t="str">
        <f t="shared" si="2"/>
        <v>{new:'https://hl7.org/cda/us/ccda/StructureDefinition-PostprocedureDiagnosisSection.html ', old:'https://hl7.org/cda/stds/ccda/draft1/StructureDefinition- 2.16.840.1.113883.10.20.22.2.36' },</v>
      </c>
    </row>
    <row r="69" spans="2:8" x14ac:dyDescent="0.25">
      <c r="B69" t="s">
        <v>2251</v>
      </c>
      <c r="C69" s="2">
        <v>42217</v>
      </c>
      <c r="D69" t="s">
        <v>2431</v>
      </c>
      <c r="E69" t="s">
        <v>2657</v>
      </c>
      <c r="F69" t="str">
        <f t="shared" si="3"/>
        <v xml:space="preserve">https://hl7.org/cda/us/ccda/StructureDefinition-ComplicationsSection.html </v>
      </c>
      <c r="G69" t="str">
        <f t="shared" si="4"/>
        <v>https://hl7.org/cda/stds/ccda/draft1/StructureDefinition- 2.16.840.1.113883.10.20.22.2.37</v>
      </c>
      <c r="H69" t="str">
        <f t="shared" si="2"/>
        <v>{new:'https://hl7.org/cda/us/ccda/StructureDefinition-ComplicationsSection.html ', old:'https://hl7.org/cda/stds/ccda/draft1/StructureDefinition- 2.16.840.1.113883.10.20.22.2.37' },</v>
      </c>
    </row>
    <row r="70" spans="2:8" x14ac:dyDescent="0.25">
      <c r="B70" t="s">
        <v>2252</v>
      </c>
      <c r="C70" s="2">
        <v>41799</v>
      </c>
      <c r="D70" t="s">
        <v>2432</v>
      </c>
      <c r="E70" t="s">
        <v>2658</v>
      </c>
      <c r="F70" t="str">
        <f t="shared" si="3"/>
        <v xml:space="preserve">https://hl7.org/cda/us/ccda/StructureDefinition-MedicationsAdministeredSection.html </v>
      </c>
      <c r="G70" t="str">
        <f t="shared" si="4"/>
        <v>https://hl7.org/cda/stds/ccda/draft1/StructureDefinition- 2.16.840.1.113883.10.20.22.2.38</v>
      </c>
      <c r="H70" t="str">
        <f t="shared" ref="H70:H133" si="5">"{new:'"&amp;F70&amp;"', old:'"&amp;G70&amp;"' },"</f>
        <v>{new:'https://hl7.org/cda/us/ccda/StructureDefinition-MedicationsAdministeredSection.html ', old:'https://hl7.org/cda/stds/ccda/draft1/StructureDefinition- 2.16.840.1.113883.10.20.22.2.38' },</v>
      </c>
    </row>
    <row r="71" spans="2:8" x14ac:dyDescent="0.25">
      <c r="B71" t="s">
        <v>2159</v>
      </c>
      <c r="D71" t="s">
        <v>2433</v>
      </c>
      <c r="E71" t="s">
        <v>2659</v>
      </c>
      <c r="F71" t="str">
        <f t="shared" si="3"/>
        <v xml:space="preserve">https://hl7.org/cda/us/ccda/StructureDefinition-MedicalGeneralHistorySection.html </v>
      </c>
      <c r="G71" t="str">
        <f t="shared" si="4"/>
        <v xml:space="preserve">https://hl7.org/cda/stds/ccda/draft1/StructureDefinition- 2.16.840.1.113883.10.20.22.2.39 </v>
      </c>
      <c r="H71" t="str">
        <f t="shared" si="5"/>
        <v>{new:'https://hl7.org/cda/us/ccda/StructureDefinition-MedicalGeneralHistorySection.html ', old:'https://hl7.org/cda/stds/ccda/draft1/StructureDefinition- 2.16.840.1.113883.10.20.22.2.39 ' },</v>
      </c>
    </row>
    <row r="72" spans="2:8" x14ac:dyDescent="0.25">
      <c r="B72" t="s">
        <v>2160</v>
      </c>
      <c r="D72" t="s">
        <v>2434</v>
      </c>
      <c r="E72" t="s">
        <v>2660</v>
      </c>
      <c r="F72" t="str">
        <f t="shared" si="3"/>
        <v xml:space="preserve">https://hl7.org/cda/us/ccda/StructureDefinition-ProcedureImplantsSection.html </v>
      </c>
      <c r="G72" t="str">
        <f t="shared" si="4"/>
        <v xml:space="preserve">https://hl7.org/cda/stds/ccda/draft1/StructureDefinition- 2.16.840.1.113883.10.20.22.2.40 </v>
      </c>
      <c r="H72" t="str">
        <f t="shared" si="5"/>
        <v>{new:'https://hl7.org/cda/us/ccda/StructureDefinition-ProcedureImplantsSection.html ', old:'https://hl7.org/cda/stds/ccda/draft1/StructureDefinition- 2.16.840.1.113883.10.20.22.2.40 ' },</v>
      </c>
    </row>
    <row r="73" spans="2:8" x14ac:dyDescent="0.25">
      <c r="B73" t="s">
        <v>2161</v>
      </c>
      <c r="D73" t="s">
        <v>2435</v>
      </c>
      <c r="E73" t="s">
        <v>2661</v>
      </c>
      <c r="F73" t="str">
        <f t="shared" si="3"/>
        <v xml:space="preserve">https://hl7.org/cda/us/ccda/StructureDefinition-HospitalDischargeInstructionsSection.html </v>
      </c>
      <c r="G73" t="str">
        <f t="shared" si="4"/>
        <v xml:space="preserve">https://hl7.org/cda/stds/ccda/draft1/StructureDefinition- 2.16.840.1.113883.10.20.22.2.41 </v>
      </c>
      <c r="H73" t="str">
        <f t="shared" si="5"/>
        <v>{new:'https://hl7.org/cda/us/ccda/StructureDefinition-HospitalDischargeInstructionsSection.html ', old:'https://hl7.org/cda/stds/ccda/draft1/StructureDefinition- 2.16.840.1.113883.10.20.22.2.41 ' },</v>
      </c>
    </row>
    <row r="74" spans="2:8" x14ac:dyDescent="0.25">
      <c r="B74" t="s">
        <v>2162</v>
      </c>
      <c r="D74" t="s">
        <v>2436</v>
      </c>
      <c r="E74" t="s">
        <v>2662</v>
      </c>
      <c r="F74" t="str">
        <f t="shared" si="3"/>
        <v xml:space="preserve">https://hl7.org/cda/us/ccda/StructureDefinition-HospitalConsultationsSection.html </v>
      </c>
      <c r="G74" t="str">
        <f t="shared" si="4"/>
        <v xml:space="preserve">https://hl7.org/cda/stds/ccda/draft1/StructureDefinition- 2.16.840.1.113883.10.20.22.2.42 </v>
      </c>
      <c r="H74" t="str">
        <f t="shared" si="5"/>
        <v>{new:'https://hl7.org/cda/us/ccda/StructureDefinition-HospitalConsultationsSection.html ', old:'https://hl7.org/cda/stds/ccda/draft1/StructureDefinition- 2.16.840.1.113883.10.20.22.2.42 ' },</v>
      </c>
    </row>
    <row r="75" spans="2:8" x14ac:dyDescent="0.25">
      <c r="B75" t="s">
        <v>2253</v>
      </c>
      <c r="C75" s="2">
        <v>42217</v>
      </c>
      <c r="D75" t="s">
        <v>2437</v>
      </c>
      <c r="E75" t="s">
        <v>2663</v>
      </c>
      <c r="F75" t="str">
        <f t="shared" si="3"/>
        <v xml:space="preserve">https://hl7.org/cda/us/ccda/StructureDefinition-AdmissionDiagnosisSection.html </v>
      </c>
      <c r="G75" t="str">
        <f t="shared" si="4"/>
        <v>https://hl7.org/cda/stds/ccda/draft1/StructureDefinition- 2.16.840.1.113883.10.20.22.2.43</v>
      </c>
      <c r="H75" t="str">
        <f t="shared" si="5"/>
        <v>{new:'https://hl7.org/cda/us/ccda/StructureDefinition-AdmissionDiagnosisSection.html ', old:'https://hl7.org/cda/stds/ccda/draft1/StructureDefinition- 2.16.840.1.113883.10.20.22.2.43' },</v>
      </c>
    </row>
    <row r="76" spans="2:8" x14ac:dyDescent="0.25">
      <c r="B76" t="s">
        <v>2254</v>
      </c>
      <c r="C76" s="2">
        <v>42217</v>
      </c>
      <c r="D76" t="s">
        <v>2438</v>
      </c>
      <c r="E76" t="s">
        <v>2664</v>
      </c>
      <c r="F76" t="str">
        <f t="shared" si="3"/>
        <v xml:space="preserve">https://hl7.org/cda/us/ccda/StructureDefinition-AdmissionMedicationsSectionEntriesOptional.html </v>
      </c>
      <c r="G76" t="str">
        <f t="shared" si="4"/>
        <v>https://hl7.org/cda/stds/ccda/draft1/StructureDefinition- 2.16.840.1.113883.10.20.22.2.44</v>
      </c>
      <c r="H76" t="str">
        <f t="shared" si="5"/>
        <v>{new:'https://hl7.org/cda/us/ccda/StructureDefinition-AdmissionMedicationsSectionEntriesOptional.html ', old:'https://hl7.org/cda/stds/ccda/draft1/StructureDefinition- 2.16.840.1.113883.10.20.22.2.44' },</v>
      </c>
    </row>
    <row r="77" spans="2:8" x14ac:dyDescent="0.25">
      <c r="B77" t="s">
        <v>2255</v>
      </c>
      <c r="C77" s="2">
        <v>41799</v>
      </c>
      <c r="D77" t="s">
        <v>2439</v>
      </c>
      <c r="E77" t="s">
        <v>2665</v>
      </c>
      <c r="F77" t="str">
        <f t="shared" si="3"/>
        <v xml:space="preserve">https://hl7.org/cda/us/ccda/StructureDefinition-InstructionsSection.html </v>
      </c>
      <c r="G77" t="str">
        <f t="shared" si="4"/>
        <v>https://hl7.org/cda/stds/ccda/draft1/StructureDefinition- 2.16.840.1.113883.10.20.22.2.45</v>
      </c>
      <c r="H77" t="str">
        <f t="shared" si="5"/>
        <v>{new:'https://hl7.org/cda/us/ccda/StructureDefinition-InstructionsSection.html ', old:'https://hl7.org/cda/stds/ccda/draft1/StructureDefinition- 2.16.840.1.113883.10.20.22.2.45' },</v>
      </c>
    </row>
    <row r="78" spans="2:8" x14ac:dyDescent="0.25">
      <c r="B78" t="s">
        <v>2256</v>
      </c>
      <c r="C78" s="2">
        <v>42217</v>
      </c>
      <c r="D78" t="s">
        <v>2440</v>
      </c>
      <c r="E78" t="s">
        <v>2666</v>
      </c>
      <c r="F78" t="str">
        <f t="shared" si="3"/>
        <v xml:space="preserve">https://hl7.org/cda/us/ccda/StructureDefinition-MentalStatusSection.html </v>
      </c>
      <c r="G78" t="str">
        <f t="shared" si="4"/>
        <v>https://hl7.org/cda/stds/ccda/draft1/StructureDefinition- 2.16.840.1.113883.10.20.22.2.56</v>
      </c>
      <c r="H78" t="str">
        <f t="shared" si="5"/>
        <v>{new:'https://hl7.org/cda/us/ccda/StructureDefinition-MentalStatusSection.html ', old:'https://hl7.org/cda/stds/ccda/draft1/StructureDefinition- 2.16.840.1.113883.10.20.22.2.56' },</v>
      </c>
    </row>
    <row r="79" spans="2:8" x14ac:dyDescent="0.25">
      <c r="B79" t="s">
        <v>2163</v>
      </c>
      <c r="D79" t="s">
        <v>2441</v>
      </c>
      <c r="E79" t="s">
        <v>2667</v>
      </c>
      <c r="F79" t="str">
        <f t="shared" si="3"/>
        <v xml:space="preserve">https://hl7.org/cda/us/ccda/StructureDefinition-NutritionSection.html </v>
      </c>
      <c r="G79" t="str">
        <f t="shared" si="4"/>
        <v xml:space="preserve">https://hl7.org/cda/stds/ccda/draft1/StructureDefinition- 2.16.840.1.113883.10.20.22.2.57 </v>
      </c>
      <c r="H79" t="str">
        <f t="shared" si="5"/>
        <v>{new:'https://hl7.org/cda/us/ccda/StructureDefinition-NutritionSection.html ', old:'https://hl7.org/cda/stds/ccda/draft1/StructureDefinition- 2.16.840.1.113883.10.20.22.2.57 ' },</v>
      </c>
    </row>
    <row r="80" spans="2:8" x14ac:dyDescent="0.25">
      <c r="B80" t="s">
        <v>2257</v>
      </c>
      <c r="C80" s="2">
        <v>42217</v>
      </c>
      <c r="D80" t="s">
        <v>2442</v>
      </c>
      <c r="E80" t="s">
        <v>2668</v>
      </c>
      <c r="F80" t="str">
        <f t="shared" si="3"/>
        <v xml:space="preserve">https://hl7.org/cda/us/ccda/StructureDefinition-HealthConcernsSection.html </v>
      </c>
      <c r="G80" t="str">
        <f t="shared" si="4"/>
        <v>https://hl7.org/cda/stds/ccda/draft1/StructureDefinition- 2.16.840.1.113883.10.20.22.2.58</v>
      </c>
      <c r="H80" t="str">
        <f t="shared" si="5"/>
        <v>{new:'https://hl7.org/cda/us/ccda/StructureDefinition-HealthConcernsSection.html ', old:'https://hl7.org/cda/stds/ccda/draft1/StructureDefinition- 2.16.840.1.113883.10.20.22.2.58' },</v>
      </c>
    </row>
    <row r="81" spans="1:8" x14ac:dyDescent="0.25">
      <c r="B81" t="s">
        <v>2164</v>
      </c>
      <c r="D81" t="s">
        <v>2443</v>
      </c>
      <c r="E81" t="s">
        <v>2669</v>
      </c>
      <c r="F81" t="str">
        <f t="shared" si="3"/>
        <v xml:space="preserve">https://hl7.org/cda/us/ccda/StructureDefinition-GoalsSection.html </v>
      </c>
      <c r="G81" t="str">
        <f t="shared" si="4"/>
        <v xml:space="preserve">https://hl7.org/cda/stds/ccda/draft1/StructureDefinition- 2.16.840.1.113883.10.20.22.2.60 </v>
      </c>
      <c r="H81" t="str">
        <f t="shared" si="5"/>
        <v>{new:'https://hl7.org/cda/us/ccda/StructureDefinition-GoalsSection.html ', old:'https://hl7.org/cda/stds/ccda/draft1/StructureDefinition- 2.16.840.1.113883.10.20.22.2.60 ' },</v>
      </c>
    </row>
    <row r="82" spans="1:8" x14ac:dyDescent="0.25">
      <c r="B82" t="s">
        <v>2165</v>
      </c>
      <c r="D82" t="s">
        <v>2444</v>
      </c>
      <c r="E82" t="s">
        <v>2670</v>
      </c>
      <c r="F82" t="str">
        <f t="shared" si="3"/>
        <v xml:space="preserve">https://hl7.org/cda/us/ccda/StructureDefinition-OutcomesSection.html </v>
      </c>
      <c r="G82" t="str">
        <f t="shared" si="4"/>
        <v xml:space="preserve">https://hl7.org/cda/stds/ccda/draft1/StructureDefinition- 2.16.840.1.113883.10.20.22.2.61 </v>
      </c>
      <c r="H82" t="str">
        <f t="shared" si="5"/>
        <v>{new:'https://hl7.org/cda/us/ccda/StructureDefinition-OutcomesSection.html ', old:'https://hl7.org/cda/stds/ccda/draft1/StructureDefinition- 2.16.840.1.113883.10.20.22.2.61 ' },</v>
      </c>
    </row>
    <row r="83" spans="1:8" x14ac:dyDescent="0.25">
      <c r="B83" t="s">
        <v>2166</v>
      </c>
      <c r="D83" t="s">
        <v>2445</v>
      </c>
      <c r="E83" t="s">
        <v>2671</v>
      </c>
      <c r="F83" t="str">
        <f t="shared" si="3"/>
        <v xml:space="preserve">https://hl7.org/cda/us/ccda/StructureDefinition-CourseofCareSection.html </v>
      </c>
      <c r="G83" t="str">
        <f t="shared" si="4"/>
        <v xml:space="preserve">https://hl7.org/cda/stds/ccda/draft1/StructureDefinition- 2.16.840.1.113883.10.20.22.2.64 </v>
      </c>
      <c r="H83" t="str">
        <f t="shared" si="5"/>
        <v>{new:'https://hl7.org/cda/us/ccda/StructureDefinition-CourseofCareSection.html ', old:'https://hl7.org/cda/stds/ccda/draft1/StructureDefinition- 2.16.840.1.113883.10.20.22.2.64 ' },</v>
      </c>
    </row>
    <row r="84" spans="1:8" x14ac:dyDescent="0.25">
      <c r="B84" t="s">
        <v>2258</v>
      </c>
      <c r="C84" s="2">
        <v>46143</v>
      </c>
      <c r="D84" t="s">
        <v>2446</v>
      </c>
      <c r="E84" t="s">
        <v>2672</v>
      </c>
      <c r="F84" t="str">
        <f t="shared" si="3"/>
        <v xml:space="preserve">https://hl7.org/cda/us/ccda/StructureDefinition-NotesSection.html </v>
      </c>
      <c r="G84" t="str">
        <f t="shared" si="4"/>
        <v>https://hl7.org/cda/stds/ccda/draft1/StructureDefinition- 2.16.840.1.113883.10.20.22.2.65</v>
      </c>
      <c r="H84" t="str">
        <f t="shared" si="5"/>
        <v>{new:'https://hl7.org/cda/us/ccda/StructureDefinition-NotesSection.html ', old:'https://hl7.org/cda/stds/ccda/draft1/StructureDefinition- 2.16.840.1.113883.10.20.22.2.65' },</v>
      </c>
    </row>
    <row r="85" spans="1:8" x14ac:dyDescent="0.25">
      <c r="B85" t="s">
        <v>2259</v>
      </c>
      <c r="C85" s="2">
        <v>44713</v>
      </c>
      <c r="D85" t="s">
        <v>2447</v>
      </c>
      <c r="E85" t="s">
        <v>2673</v>
      </c>
      <c r="F85" t="str">
        <f t="shared" si="3"/>
        <v xml:space="preserve">https://hl7.org/cda/us/ccda/StructureDefinition-CareTeamsSection.html </v>
      </c>
      <c r="G85" t="str">
        <f t="shared" si="4"/>
        <v>https://hl7.org/cda/stds/ccda/draft1/StructureDefinition- 2.16.840.1.113883.10.20.22.2.500</v>
      </c>
      <c r="H85" t="str">
        <f t="shared" si="5"/>
        <v>{new:'https://hl7.org/cda/us/ccda/StructureDefinition-CareTeamsSection.html ', old:'https://hl7.org/cda/stds/ccda/draft1/StructureDefinition- 2.16.840.1.113883.10.20.22.2.500' },</v>
      </c>
    </row>
    <row r="86" spans="1:8" x14ac:dyDescent="0.25">
      <c r="A86" t="s">
        <v>2132</v>
      </c>
      <c r="H86" t="str">
        <f t="shared" si="5"/>
        <v>{new:'', old:'' },</v>
      </c>
    </row>
    <row r="87" spans="1:8" x14ac:dyDescent="0.25">
      <c r="B87" t="s">
        <v>2135</v>
      </c>
      <c r="D87" t="s">
        <v>2136</v>
      </c>
      <c r="H87" t="str">
        <f t="shared" si="5"/>
        <v>{new:'', old:'' },</v>
      </c>
    </row>
    <row r="88" spans="1:8" x14ac:dyDescent="0.25">
      <c r="B88" t="s">
        <v>2137</v>
      </c>
      <c r="D88" t="s">
        <v>2138</v>
      </c>
      <c r="H88" t="str">
        <f t="shared" si="5"/>
        <v>{new:'', old:'' },</v>
      </c>
    </row>
    <row r="89" spans="1:8" x14ac:dyDescent="0.25">
      <c r="B89" t="s">
        <v>2260</v>
      </c>
      <c r="C89" s="2">
        <v>45778</v>
      </c>
      <c r="D89" t="s">
        <v>2448</v>
      </c>
      <c r="E89" t="s">
        <v>2674</v>
      </c>
      <c r="F89" t="str">
        <f t="shared" si="3"/>
        <v xml:space="preserve">https://hl7.org/cda/us/ccda/StructureDefinition-IndividualPronounObservation.html </v>
      </c>
      <c r="G89" t="str">
        <f t="shared" si="4"/>
        <v>https://hl7.org/cda/stds/ccda/draft1/StructureDefinition- 2.16.840.1.113883.10.15.2</v>
      </c>
      <c r="H89" t="str">
        <f t="shared" si="5"/>
        <v>{new:'https://hl7.org/cda/us/ccda/StructureDefinition-IndividualPronounObservation.html ', old:'https://hl7.org/cda/stds/ccda/draft1/StructureDefinition- 2.16.840.1.113883.10.15.2' },</v>
      </c>
    </row>
    <row r="90" spans="1:8" x14ac:dyDescent="0.25">
      <c r="B90" t="s">
        <v>2167</v>
      </c>
      <c r="D90" t="s">
        <v>2449</v>
      </c>
      <c r="E90" t="s">
        <v>2675</v>
      </c>
      <c r="F90" t="str">
        <f t="shared" si="3"/>
        <v xml:space="preserve">https://hl7.org/cda/us/ccda/StructureDefinition-AuthorizationActivity.html </v>
      </c>
      <c r="G90" t="str">
        <f t="shared" si="4"/>
        <v xml:space="preserve">https://hl7.org/cda/stds/ccda/draft1/StructureDefinition- 2.16.840.1.113883.10.20.1.19 </v>
      </c>
      <c r="H90" t="str">
        <f t="shared" si="5"/>
        <v>{new:'https://hl7.org/cda/us/ccda/StructureDefinition-AuthorizationActivity.html ', old:'https://hl7.org/cda/stds/ccda/draft1/StructureDefinition- 2.16.840.1.113883.10.20.1.19 ' },</v>
      </c>
    </row>
    <row r="91" spans="1:8" x14ac:dyDescent="0.25">
      <c r="B91" t="s">
        <v>2168</v>
      </c>
      <c r="D91" t="s">
        <v>2450</v>
      </c>
      <c r="E91" t="s">
        <v>2676</v>
      </c>
      <c r="F91" t="str">
        <f t="shared" si="3"/>
        <v xml:space="preserve">https://hl7.org/cda/us/ccda/StructureDefinition-AdvanceDirectiveObservation.html </v>
      </c>
      <c r="G91" t="str">
        <f t="shared" si="4"/>
        <v xml:space="preserve">https://hl7.org/cda/stds/ccda/draft1/StructureDefinition- 2.16.840.1.113883.10.20.1.58 </v>
      </c>
      <c r="H91" t="str">
        <f t="shared" si="5"/>
        <v>{new:'https://hl7.org/cda/us/ccda/StructureDefinition-AdvanceDirectiveObservation.html ', old:'https://hl7.org/cda/stds/ccda/draft1/StructureDefinition- 2.16.840.1.113883.10.20.1.58 ' },</v>
      </c>
    </row>
    <row r="92" spans="1:8" x14ac:dyDescent="0.25">
      <c r="B92" t="s">
        <v>2169</v>
      </c>
      <c r="D92" t="s">
        <v>2451</v>
      </c>
      <c r="E92" t="s">
        <v>2677</v>
      </c>
      <c r="F92" t="str">
        <f t="shared" si="3"/>
        <v xml:space="preserve">https://hl7.org/cda/us/ccda/StructureDefinition-EstimatedDateofDelivery.html </v>
      </c>
      <c r="G92" t="str">
        <f t="shared" si="4"/>
        <v xml:space="preserve">https://hl7.org/cda/stds/ccda/draft1/StructureDefinition- 2.16.840.1.113883.10.20.15.3.1 </v>
      </c>
      <c r="H92" t="str">
        <f t="shared" si="5"/>
        <v>{new:'https://hl7.org/cda/us/ccda/StructureDefinition-EstimatedDateofDelivery.html ', old:'https://hl7.org/cda/stds/ccda/draft1/StructureDefinition- 2.16.840.1.113883.10.20.15.3.1 ' },</v>
      </c>
    </row>
    <row r="93" spans="1:8" x14ac:dyDescent="0.25">
      <c r="B93" t="s">
        <v>2261</v>
      </c>
      <c r="C93" s="2">
        <v>45778</v>
      </c>
      <c r="D93" t="s">
        <v>2452</v>
      </c>
      <c r="E93" t="s">
        <v>2678</v>
      </c>
      <c r="F93" t="str">
        <f t="shared" si="3"/>
        <v xml:space="preserve">https://hl7.org/cda/us/ccda/StructureDefinition-PregnancyStatusObservation.html </v>
      </c>
      <c r="G93" t="str">
        <f t="shared" si="4"/>
        <v>https://hl7.org/cda/stds/ccda/draft1/StructureDefinition- 2.16.840.1.113883.10.20.15.3.8</v>
      </c>
      <c r="H93" t="str">
        <f t="shared" si="5"/>
        <v>{new:'https://hl7.org/cda/us/ccda/StructureDefinition-PregnancyStatusObservation.html ', old:'https://hl7.org/cda/stds/ccda/draft1/StructureDefinition- 2.16.840.1.113883.10.20.15.3.8' },</v>
      </c>
    </row>
    <row r="94" spans="1:8" x14ac:dyDescent="0.25">
      <c r="B94" t="s">
        <v>2262</v>
      </c>
      <c r="C94" s="2">
        <v>45047</v>
      </c>
      <c r="D94" t="s">
        <v>2453</v>
      </c>
      <c r="E94" t="s">
        <v>2679</v>
      </c>
      <c r="F94" t="str">
        <f t="shared" si="3"/>
        <v xml:space="preserve">https://hl7.org/cda/us/ccda/StructureDefinition-ResultOrganizer.html </v>
      </c>
      <c r="G94" t="str">
        <f t="shared" si="4"/>
        <v>https://hl7.org/cda/stds/ccda/draft1/StructureDefinition- 2.16.840.1.113883.10.20.22.4.1</v>
      </c>
      <c r="H94" t="str">
        <f t="shared" si="5"/>
        <v>{new:'https://hl7.org/cda/us/ccda/StructureDefinition-ResultOrganizer.html ', old:'https://hl7.org/cda/stds/ccda/draft1/StructureDefinition- 2.16.840.1.113883.10.20.22.4.1' },</v>
      </c>
    </row>
    <row r="95" spans="1:8" x14ac:dyDescent="0.25">
      <c r="B95" t="s">
        <v>2263</v>
      </c>
      <c r="C95" s="2">
        <v>45047</v>
      </c>
      <c r="D95" t="s">
        <v>2454</v>
      </c>
      <c r="E95" t="s">
        <v>2680</v>
      </c>
      <c r="F95" t="str">
        <f t="shared" si="3"/>
        <v xml:space="preserve">https://hl7.org/cda/us/ccda/StructureDefinition-ResultObservation.html </v>
      </c>
      <c r="G95" t="str">
        <f t="shared" si="4"/>
        <v>https://hl7.org/cda/stds/ccda/draft1/StructureDefinition- 2.16.840.1.113883.10.20.22.4.2</v>
      </c>
      <c r="H95" t="str">
        <f t="shared" si="5"/>
        <v>{new:'https://hl7.org/cda/us/ccda/StructureDefinition-ResultObservation.html ', old:'https://hl7.org/cda/stds/ccda/draft1/StructureDefinition- 2.16.840.1.113883.10.20.22.4.2' },</v>
      </c>
    </row>
    <row r="96" spans="1:8" x14ac:dyDescent="0.25">
      <c r="B96" t="s">
        <v>2264</v>
      </c>
      <c r="C96" s="2">
        <v>45413</v>
      </c>
      <c r="D96" t="s">
        <v>2455</v>
      </c>
      <c r="E96" t="s">
        <v>2681</v>
      </c>
      <c r="F96" t="str">
        <f t="shared" si="3"/>
        <v xml:space="preserve">https://hl7.org/cda/us/ccda/StructureDefinition-ProblemConcernAct.html </v>
      </c>
      <c r="G96" t="str">
        <f t="shared" si="4"/>
        <v>https://hl7.org/cda/stds/ccda/draft1/StructureDefinition- 2.16.840.1.113883.10.20.22.4.3</v>
      </c>
      <c r="H96" t="str">
        <f t="shared" si="5"/>
        <v>{new:'https://hl7.org/cda/us/ccda/StructureDefinition-ProblemConcernAct.html ', old:'https://hl7.org/cda/stds/ccda/draft1/StructureDefinition- 2.16.840.1.113883.10.20.22.4.3' },</v>
      </c>
    </row>
    <row r="97" spans="2:8" x14ac:dyDescent="0.25">
      <c r="B97" t="s">
        <v>2265</v>
      </c>
      <c r="C97" s="2">
        <v>45413</v>
      </c>
      <c r="D97" t="s">
        <v>2456</v>
      </c>
      <c r="E97" t="s">
        <v>2682</v>
      </c>
      <c r="F97" t="str">
        <f t="shared" si="3"/>
        <v xml:space="preserve">https://hl7.org/cda/us/ccda/StructureDefinition-ProblemObservation.html </v>
      </c>
      <c r="G97" t="str">
        <f t="shared" si="4"/>
        <v>https://hl7.org/cda/stds/ccda/draft1/StructureDefinition- 2.16.840.1.113883.10.20.22.4.4</v>
      </c>
      <c r="H97" t="str">
        <f t="shared" si="5"/>
        <v>{new:'https://hl7.org/cda/us/ccda/StructureDefinition-ProblemObservation.html ', old:'https://hl7.org/cda/stds/ccda/draft1/StructureDefinition- 2.16.840.1.113883.10.20.22.4.4' },</v>
      </c>
    </row>
    <row r="98" spans="2:8" x14ac:dyDescent="0.25">
      <c r="B98" t="s">
        <v>2266</v>
      </c>
      <c r="C98" s="2">
        <v>41799</v>
      </c>
      <c r="D98" t="s">
        <v>2457</v>
      </c>
      <c r="E98" t="s">
        <v>2683</v>
      </c>
      <c r="F98" t="str">
        <f t="shared" si="3"/>
        <v xml:space="preserve">https://hl7.org/cda/us/ccda/StructureDefinition-HealthStatusObservation.html </v>
      </c>
      <c r="G98" t="str">
        <f t="shared" si="4"/>
        <v>https://hl7.org/cda/stds/ccda/draft1/StructureDefinition- 2.16.840.1.113883.10.20.22.4.5</v>
      </c>
      <c r="H98" t="str">
        <f t="shared" si="5"/>
        <v>{new:'https://hl7.org/cda/us/ccda/StructureDefinition-HealthStatusObservation.html ', old:'https://hl7.org/cda/stds/ccda/draft1/StructureDefinition- 2.16.840.1.113883.10.20.22.4.5' },</v>
      </c>
    </row>
    <row r="99" spans="2:8" x14ac:dyDescent="0.25">
      <c r="B99" t="s">
        <v>2267</v>
      </c>
      <c r="C99" s="2">
        <v>43636</v>
      </c>
      <c r="D99" t="s">
        <v>2458</v>
      </c>
      <c r="E99" t="s">
        <v>2684</v>
      </c>
      <c r="F99" t="str">
        <f t="shared" si="3"/>
        <v xml:space="preserve">https://hl7.org/cda/us/ccda/StructureDefinition-ProblemStatus.html </v>
      </c>
      <c r="G99" t="str">
        <f t="shared" si="4"/>
        <v>https://hl7.org/cda/stds/ccda/draft1/StructureDefinition- 2.16.840.1.113883.10.20.22.4.6</v>
      </c>
      <c r="H99" t="str">
        <f t="shared" si="5"/>
        <v>{new:'https://hl7.org/cda/us/ccda/StructureDefinition-ProblemStatus.html ', old:'https://hl7.org/cda/stds/ccda/draft1/StructureDefinition- 2.16.840.1.113883.10.20.22.4.6' },</v>
      </c>
    </row>
    <row r="100" spans="2:8" x14ac:dyDescent="0.25">
      <c r="B100" t="s">
        <v>2268</v>
      </c>
      <c r="C100" s="2">
        <v>41799</v>
      </c>
      <c r="D100" t="s">
        <v>2459</v>
      </c>
      <c r="E100" t="s">
        <v>2685</v>
      </c>
      <c r="F100" t="str">
        <f t="shared" si="3"/>
        <v xml:space="preserve">https://hl7.org/cda/us/ccda/StructureDefinition-AllergyIntoleranceObservation.html </v>
      </c>
      <c r="G100" t="str">
        <f t="shared" si="4"/>
        <v>https://hl7.org/cda/stds/ccda/draft1/StructureDefinition- 2.16.840.1.113883.10.20.22.4.7</v>
      </c>
      <c r="H100" t="str">
        <f t="shared" si="5"/>
        <v>{new:'https://hl7.org/cda/us/ccda/StructureDefinition-AllergyIntoleranceObservation.html ', old:'https://hl7.org/cda/stds/ccda/draft1/StructureDefinition- 2.16.840.1.113883.10.20.22.4.7' },</v>
      </c>
    </row>
    <row r="101" spans="2:8" x14ac:dyDescent="0.25">
      <c r="B101" t="s">
        <v>2269</v>
      </c>
      <c r="C101" s="2">
        <v>41799</v>
      </c>
      <c r="D101" t="s">
        <v>2460</v>
      </c>
      <c r="E101" t="s">
        <v>2686</v>
      </c>
      <c r="F101" t="str">
        <f t="shared" si="3"/>
        <v xml:space="preserve">https://hl7.org/cda/us/ccda/StructureDefinition-SeverityObservation.html </v>
      </c>
      <c r="G101" t="str">
        <f t="shared" si="4"/>
        <v>https://hl7.org/cda/stds/ccda/draft1/StructureDefinition- 2.16.840.1.113883.10.20.22.4.8</v>
      </c>
      <c r="H101" t="str">
        <f t="shared" si="5"/>
        <v>{new:'https://hl7.org/cda/us/ccda/StructureDefinition-SeverityObservation.html ', old:'https://hl7.org/cda/stds/ccda/draft1/StructureDefinition- 2.16.840.1.113883.10.20.22.4.8' },</v>
      </c>
    </row>
    <row r="102" spans="2:8" x14ac:dyDescent="0.25">
      <c r="B102" t="s">
        <v>2270</v>
      </c>
      <c r="C102" s="2">
        <v>41799</v>
      </c>
      <c r="D102" t="s">
        <v>2461</v>
      </c>
      <c r="E102" t="s">
        <v>2687</v>
      </c>
      <c r="F102" t="str">
        <f t="shared" si="3"/>
        <v xml:space="preserve">https://hl7.org/cda/us/ccda/StructureDefinition-ReactionObservation.html </v>
      </c>
      <c r="G102" t="str">
        <f t="shared" si="4"/>
        <v>https://hl7.org/cda/stds/ccda/draft1/StructureDefinition- 2.16.840.1.113883.10.20.22.4.9</v>
      </c>
      <c r="H102" t="str">
        <f t="shared" si="5"/>
        <v>{new:'https://hl7.org/cda/us/ccda/StructureDefinition-ReactionObservation.html ', old:'https://hl7.org/cda/stds/ccda/draft1/StructureDefinition- 2.16.840.1.113883.10.20.22.4.9' },</v>
      </c>
    </row>
    <row r="103" spans="2:8" x14ac:dyDescent="0.25">
      <c r="B103" t="s">
        <v>2271</v>
      </c>
      <c r="C103" s="2">
        <v>45413</v>
      </c>
      <c r="D103" t="s">
        <v>2462</v>
      </c>
      <c r="E103" t="s">
        <v>2688</v>
      </c>
      <c r="F103" t="str">
        <f t="shared" si="3"/>
        <v xml:space="preserve">https://hl7.org/cda/us/ccda/StructureDefinition-ProcedureActivityProcedure.html </v>
      </c>
      <c r="G103" t="str">
        <f t="shared" si="4"/>
        <v>https://hl7.org/cda/stds/ccda/draft1/StructureDefinition- 2.16.840.1.113883.10.20.22.4.14</v>
      </c>
      <c r="H103" t="str">
        <f t="shared" si="5"/>
        <v>{new:'https://hl7.org/cda/us/ccda/StructureDefinition-ProcedureActivityProcedure.html ', old:'https://hl7.org/cda/stds/ccda/draft1/StructureDefinition- 2.16.840.1.113883.10.20.22.4.14' },</v>
      </c>
    </row>
    <row r="104" spans="2:8" x14ac:dyDescent="0.25">
      <c r="B104" t="s">
        <v>2272</v>
      </c>
      <c r="C104" s="2">
        <v>41799</v>
      </c>
      <c r="D104" t="s">
        <v>2463</v>
      </c>
      <c r="E104" t="s">
        <v>2689</v>
      </c>
      <c r="F104" t="str">
        <f t="shared" si="3"/>
        <v xml:space="preserve">https://hl7.org/cda/us/ccda/StructureDefinition-MedicationActivity.html </v>
      </c>
      <c r="G104" t="str">
        <f t="shared" si="4"/>
        <v>https://hl7.org/cda/stds/ccda/draft1/StructureDefinition- 2.16.840.1.113883.10.20.22.4.16</v>
      </c>
      <c r="H104" t="str">
        <f t="shared" si="5"/>
        <v>{new:'https://hl7.org/cda/us/ccda/StructureDefinition-MedicationActivity.html ', old:'https://hl7.org/cda/stds/ccda/draft1/StructureDefinition- 2.16.840.1.113883.10.20.22.4.16' },</v>
      </c>
    </row>
    <row r="105" spans="2:8" x14ac:dyDescent="0.25">
      <c r="B105" t="s">
        <v>2273</v>
      </c>
      <c r="C105" s="2">
        <v>41799</v>
      </c>
      <c r="D105" t="s">
        <v>2464</v>
      </c>
      <c r="E105" t="s">
        <v>2690</v>
      </c>
      <c r="F105" t="str">
        <f t="shared" si="3"/>
        <v xml:space="preserve">https://hl7.org/cda/us/ccda/StructureDefinition-MedicationSupplyOrder.html </v>
      </c>
      <c r="G105" t="str">
        <f t="shared" si="4"/>
        <v>https://hl7.org/cda/stds/ccda/draft1/StructureDefinition- 2.16.840.1.113883.10.20.22.4.17</v>
      </c>
      <c r="H105" t="str">
        <f t="shared" si="5"/>
        <v>{new:'https://hl7.org/cda/us/ccda/StructureDefinition-MedicationSupplyOrder.html ', old:'https://hl7.org/cda/stds/ccda/draft1/StructureDefinition- 2.16.840.1.113883.10.20.22.4.17' },</v>
      </c>
    </row>
    <row r="106" spans="2:8" x14ac:dyDescent="0.25">
      <c r="B106" t="s">
        <v>2274</v>
      </c>
      <c r="C106" s="2">
        <v>45047</v>
      </c>
      <c r="D106" t="s">
        <v>2465</v>
      </c>
      <c r="E106" t="s">
        <v>2691</v>
      </c>
      <c r="F106" t="str">
        <f t="shared" si="3"/>
        <v xml:space="preserve">https://hl7.org/cda/us/ccda/StructureDefinition-MedicationDispense.html </v>
      </c>
      <c r="G106" t="str">
        <f t="shared" si="4"/>
        <v>https://hl7.org/cda/stds/ccda/draft1/StructureDefinition- 2.16.840.1.113883.10.20.22.4.18</v>
      </c>
      <c r="H106" t="str">
        <f t="shared" si="5"/>
        <v>{new:'https://hl7.org/cda/us/ccda/StructureDefinition-MedicationDispense.html ', old:'https://hl7.org/cda/stds/ccda/draft1/StructureDefinition- 2.16.840.1.113883.10.20.22.4.18' },</v>
      </c>
    </row>
    <row r="107" spans="2:8" x14ac:dyDescent="0.25">
      <c r="B107" t="s">
        <v>2275</v>
      </c>
      <c r="C107" s="2">
        <v>45047</v>
      </c>
      <c r="D107" t="s">
        <v>2466</v>
      </c>
      <c r="E107" t="s">
        <v>2692</v>
      </c>
      <c r="F107" t="str">
        <f t="shared" si="3"/>
        <v xml:space="preserve">https://hl7.org/cda/us/ccda/StructureDefinition-Indication.html </v>
      </c>
      <c r="G107" t="str">
        <f t="shared" si="4"/>
        <v>https://hl7.org/cda/stds/ccda/draft1/StructureDefinition- 2.16.840.1.113883.10.20.22.4.19</v>
      </c>
      <c r="H107" t="str">
        <f t="shared" si="5"/>
        <v>{new:'https://hl7.org/cda/us/ccda/StructureDefinition-Indication.html ', old:'https://hl7.org/cda/stds/ccda/draft1/StructureDefinition- 2.16.840.1.113883.10.20.22.4.19' },</v>
      </c>
    </row>
    <row r="108" spans="2:8" x14ac:dyDescent="0.25">
      <c r="B108" t="s">
        <v>2276</v>
      </c>
      <c r="C108" s="2">
        <v>41799</v>
      </c>
      <c r="D108" t="s">
        <v>2467</v>
      </c>
      <c r="E108" t="s">
        <v>2693</v>
      </c>
      <c r="F108" t="str">
        <f t="shared" si="3"/>
        <v xml:space="preserve">https://hl7.org/cda/us/ccda/StructureDefinition-MedicationInformation.html </v>
      </c>
      <c r="G108" t="str">
        <f t="shared" si="4"/>
        <v>https://hl7.org/cda/stds/ccda/draft1/StructureDefinition- 2.16.840.1.113883.10.20.22.4.23</v>
      </c>
      <c r="H108" t="str">
        <f t="shared" si="5"/>
        <v>{new:'https://hl7.org/cda/us/ccda/StructureDefinition-MedicationInformation.html ', old:'https://hl7.org/cda/stds/ccda/draft1/StructureDefinition- 2.16.840.1.113883.10.20.22.4.23' },</v>
      </c>
    </row>
    <row r="109" spans="2:8" x14ac:dyDescent="0.25">
      <c r="B109" t="s">
        <v>2170</v>
      </c>
      <c r="D109" t="s">
        <v>2468</v>
      </c>
      <c r="E109" t="s">
        <v>2694</v>
      </c>
      <c r="F109" t="str">
        <f t="shared" si="3"/>
        <v xml:space="preserve">https://hl7.org/cda/us/ccda/StructureDefinition-DrugVehicle.html </v>
      </c>
      <c r="G109" t="str">
        <f t="shared" si="4"/>
        <v xml:space="preserve">https://hl7.org/cda/stds/ccda/draft1/StructureDefinition- 2.16.840.1.113883.10.20.22.4.24 </v>
      </c>
      <c r="H109" t="str">
        <f t="shared" si="5"/>
        <v>{new:'https://hl7.org/cda/us/ccda/StructureDefinition-DrugVehicle.html ', old:'https://hl7.org/cda/stds/ccda/draft1/StructureDefinition- 2.16.840.1.113883.10.20.22.4.24 ' },</v>
      </c>
    </row>
    <row r="110" spans="2:8" x14ac:dyDescent="0.25">
      <c r="B110" t="s">
        <v>2277</v>
      </c>
      <c r="C110" s="2">
        <v>41799</v>
      </c>
      <c r="D110" t="s">
        <v>2469</v>
      </c>
      <c r="E110" t="s">
        <v>2695</v>
      </c>
      <c r="F110" t="str">
        <f t="shared" si="3"/>
        <v xml:space="preserve">https://hl7.org/cda/us/ccda/StructureDefinition-PreconditionforSubstanceAdministration.html </v>
      </c>
      <c r="G110" t="str">
        <f t="shared" si="4"/>
        <v>https://hl7.org/cda/stds/ccda/draft1/StructureDefinition- 2.16.840.1.113883.10.20.22.4.25</v>
      </c>
      <c r="H110" t="str">
        <f t="shared" si="5"/>
        <v>{new:'https://hl7.org/cda/us/ccda/StructureDefinition-PreconditionforSubstanceAdministration.html ', old:'https://hl7.org/cda/stds/ccda/draft1/StructureDefinition- 2.16.840.1.113883.10.20.22.4.25' },</v>
      </c>
    </row>
    <row r="111" spans="2:8" x14ac:dyDescent="0.25">
      <c r="B111" t="s">
        <v>2278</v>
      </c>
      <c r="C111" s="2">
        <v>42217</v>
      </c>
      <c r="D111" t="s">
        <v>2470</v>
      </c>
      <c r="E111" t="s">
        <v>2696</v>
      </c>
      <c r="F111" t="str">
        <f t="shared" si="3"/>
        <v xml:space="preserve">https://hl7.org/cda/us/ccda/StructureDefinition-VitalSignsOrganizer.html </v>
      </c>
      <c r="G111" t="str">
        <f t="shared" si="4"/>
        <v>https://hl7.org/cda/stds/ccda/draft1/StructureDefinition- 2.16.840.1.113883.10.20.22.4.26</v>
      </c>
      <c r="H111" t="str">
        <f t="shared" si="5"/>
        <v>{new:'https://hl7.org/cda/us/ccda/StructureDefinition-VitalSignsOrganizer.html ', old:'https://hl7.org/cda/stds/ccda/draft1/StructureDefinition- 2.16.840.1.113883.10.20.22.4.26' },</v>
      </c>
    </row>
    <row r="112" spans="2:8" x14ac:dyDescent="0.25">
      <c r="B112" t="s">
        <v>2279</v>
      </c>
      <c r="C112" s="2">
        <v>41799</v>
      </c>
      <c r="D112" t="s">
        <v>2471</v>
      </c>
      <c r="E112" t="s">
        <v>2697</v>
      </c>
      <c r="F112" t="str">
        <f t="shared" si="3"/>
        <v xml:space="preserve">https://hl7.org/cda/us/ccda/StructureDefinition-VitalSignObservation.html </v>
      </c>
      <c r="G112" t="str">
        <f t="shared" si="4"/>
        <v>https://hl7.org/cda/stds/ccda/draft1/StructureDefinition- 2.16.840.1.113883.10.20.22.4.27</v>
      </c>
      <c r="H112" t="str">
        <f t="shared" si="5"/>
        <v>{new:'https://hl7.org/cda/us/ccda/StructureDefinition-VitalSignObservation.html ', old:'https://hl7.org/cda/stds/ccda/draft1/StructureDefinition- 2.16.840.1.113883.10.20.22.4.27' },</v>
      </c>
    </row>
    <row r="113" spans="2:8" x14ac:dyDescent="0.25">
      <c r="B113" t="s">
        <v>2280</v>
      </c>
      <c r="C113" s="2">
        <v>43636</v>
      </c>
      <c r="D113" t="s">
        <v>2472</v>
      </c>
      <c r="E113" t="s">
        <v>2698</v>
      </c>
      <c r="F113" t="str">
        <f t="shared" si="3"/>
        <v xml:space="preserve">https://hl7.org/cda/us/ccda/StructureDefinition-AllergyStatusObservation.html </v>
      </c>
      <c r="G113" t="str">
        <f t="shared" si="4"/>
        <v>https://hl7.org/cda/stds/ccda/draft1/StructureDefinition- 2.16.840.1.113883.10.20.22.4.28</v>
      </c>
      <c r="H113" t="str">
        <f t="shared" si="5"/>
        <v>{new:'https://hl7.org/cda/us/ccda/StructureDefinition-AllergyStatusObservation.html ', old:'https://hl7.org/cda/stds/ccda/draft1/StructureDefinition- 2.16.840.1.113883.10.20.22.4.28' },</v>
      </c>
    </row>
    <row r="114" spans="2:8" x14ac:dyDescent="0.25">
      <c r="B114" t="s">
        <v>2281</v>
      </c>
      <c r="C114" s="2">
        <v>42217</v>
      </c>
      <c r="D114" t="s">
        <v>2473</v>
      </c>
      <c r="E114" t="s">
        <v>2699</v>
      </c>
      <c r="F114" t="str">
        <f t="shared" si="3"/>
        <v xml:space="preserve">https://hl7.org/cda/us/ccda/StructureDefinition-AllergyConcernAct.html </v>
      </c>
      <c r="G114" t="str">
        <f t="shared" si="4"/>
        <v>https://hl7.org/cda/stds/ccda/draft1/StructureDefinition- 2.16.840.1.113883.10.20.22.4.30</v>
      </c>
      <c r="H114" t="str">
        <f t="shared" si="5"/>
        <v>{new:'https://hl7.org/cda/us/ccda/StructureDefinition-AllergyConcernAct.html ', old:'https://hl7.org/cda/stds/ccda/draft1/StructureDefinition- 2.16.840.1.113883.10.20.22.4.30' },</v>
      </c>
    </row>
    <row r="115" spans="2:8" x14ac:dyDescent="0.25">
      <c r="B115" t="s">
        <v>2171</v>
      </c>
      <c r="D115" t="s">
        <v>2474</v>
      </c>
      <c r="E115" t="s">
        <v>2700</v>
      </c>
      <c r="F115" t="str">
        <f t="shared" si="3"/>
        <v xml:space="preserve">https://hl7.org/cda/us/ccda/StructureDefinition-AgeObservation.html </v>
      </c>
      <c r="G115" t="str">
        <f t="shared" si="4"/>
        <v xml:space="preserve">https://hl7.org/cda/stds/ccda/draft1/StructureDefinition- 2.16.840.1.113883.10.20.22.4.31 </v>
      </c>
      <c r="H115" t="str">
        <f t="shared" si="5"/>
        <v>{new:'https://hl7.org/cda/us/ccda/StructureDefinition-AgeObservation.html ', old:'https://hl7.org/cda/stds/ccda/draft1/StructureDefinition- 2.16.840.1.113883.10.20.22.4.31 ' },</v>
      </c>
    </row>
    <row r="116" spans="2:8" x14ac:dyDescent="0.25">
      <c r="B116" t="s">
        <v>2172</v>
      </c>
      <c r="D116" t="s">
        <v>2475</v>
      </c>
      <c r="E116" t="s">
        <v>2701</v>
      </c>
      <c r="F116" t="str">
        <f t="shared" si="3"/>
        <v xml:space="preserve">https://hl7.org/cda/us/ccda/StructureDefinition-ServiceDeliveryLocation.html </v>
      </c>
      <c r="G116" t="str">
        <f t="shared" si="4"/>
        <v xml:space="preserve">https://hl7.org/cda/stds/ccda/draft1/StructureDefinition- 2.16.840.1.113883.10.20.22.4.32 </v>
      </c>
      <c r="H116" t="str">
        <f t="shared" si="5"/>
        <v>{new:'https://hl7.org/cda/us/ccda/StructureDefinition-ServiceDeliveryLocation.html ', old:'https://hl7.org/cda/stds/ccda/draft1/StructureDefinition- 2.16.840.1.113883.10.20.22.4.32 ' },</v>
      </c>
    </row>
    <row r="117" spans="2:8" x14ac:dyDescent="0.25">
      <c r="B117" t="s">
        <v>2282</v>
      </c>
      <c r="C117" s="2">
        <v>42217</v>
      </c>
      <c r="D117" t="s">
        <v>2476</v>
      </c>
      <c r="E117" t="s">
        <v>2702</v>
      </c>
      <c r="F117" t="str">
        <f t="shared" si="3"/>
        <v xml:space="preserve">https://hl7.org/cda/us/ccda/StructureDefinition-HospitalDischargeDiagnosis.html </v>
      </c>
      <c r="G117" t="str">
        <f t="shared" si="4"/>
        <v>https://hl7.org/cda/stds/ccda/draft1/StructureDefinition- 2.16.840.1.113883.10.20.22.4.33</v>
      </c>
      <c r="H117" t="str">
        <f t="shared" si="5"/>
        <v>{new:'https://hl7.org/cda/us/ccda/StructureDefinition-HospitalDischargeDiagnosis.html ', old:'https://hl7.org/cda/stds/ccda/draft1/StructureDefinition- 2.16.840.1.113883.10.20.22.4.33' },</v>
      </c>
    </row>
    <row r="118" spans="2:8" x14ac:dyDescent="0.25">
      <c r="B118" t="s">
        <v>2283</v>
      </c>
      <c r="C118" s="2">
        <v>42217</v>
      </c>
      <c r="D118" t="s">
        <v>2477</v>
      </c>
      <c r="E118" t="s">
        <v>2703</v>
      </c>
      <c r="F118" t="str">
        <f t="shared" si="3"/>
        <v xml:space="preserve">https://hl7.org/cda/us/ccda/StructureDefinition-HospitalAdmissionDiagnosis.html </v>
      </c>
      <c r="G118" t="str">
        <f t="shared" si="4"/>
        <v>https://hl7.org/cda/stds/ccda/draft1/StructureDefinition- 2.16.840.1.113883.10.20.22.4.34</v>
      </c>
      <c r="H118" t="str">
        <f t="shared" si="5"/>
        <v>{new:'https://hl7.org/cda/us/ccda/StructureDefinition-HospitalAdmissionDiagnosis.html ', old:'https://hl7.org/cda/stds/ccda/draft1/StructureDefinition- 2.16.840.1.113883.10.20.22.4.34' },</v>
      </c>
    </row>
    <row r="119" spans="2:8" x14ac:dyDescent="0.25">
      <c r="B119" t="s">
        <v>2284</v>
      </c>
      <c r="C119" s="2">
        <v>42430</v>
      </c>
      <c r="D119" t="s">
        <v>2478</v>
      </c>
      <c r="E119" t="s">
        <v>2704</v>
      </c>
      <c r="F119" t="str">
        <f t="shared" si="3"/>
        <v xml:space="preserve">https://hl7.org/cda/us/ccda/StructureDefinition-DischargeMedication.html </v>
      </c>
      <c r="G119" t="str">
        <f t="shared" si="4"/>
        <v>https://hl7.org/cda/stds/ccda/draft1/StructureDefinition- 2.16.840.1.113883.10.20.22.4.35</v>
      </c>
      <c r="H119" t="str">
        <f t="shared" si="5"/>
        <v>{new:'https://hl7.org/cda/us/ccda/StructureDefinition-DischargeMedication.html ', old:'https://hl7.org/cda/stds/ccda/draft1/StructureDefinition- 2.16.840.1.113883.10.20.22.4.35' },</v>
      </c>
    </row>
    <row r="120" spans="2:8" x14ac:dyDescent="0.25">
      <c r="B120" t="s">
        <v>2285</v>
      </c>
      <c r="C120" s="2">
        <v>41799</v>
      </c>
      <c r="D120" t="s">
        <v>2479</v>
      </c>
      <c r="E120" t="s">
        <v>2705</v>
      </c>
      <c r="F120" t="str">
        <f t="shared" si="3"/>
        <v xml:space="preserve">https://hl7.org/cda/us/ccda/StructureDefinition-AdmissionMedication.html </v>
      </c>
      <c r="G120" t="str">
        <f t="shared" si="4"/>
        <v>https://hl7.org/cda/stds/ccda/draft1/StructureDefinition- 2.16.840.1.113883.10.20.22.4.36</v>
      </c>
      <c r="H120" t="str">
        <f t="shared" si="5"/>
        <v>{new:'https://hl7.org/cda/us/ccda/StructureDefinition-AdmissionMedication.html ', old:'https://hl7.org/cda/stds/ccda/draft1/StructureDefinition- 2.16.840.1.113883.10.20.22.4.36' },</v>
      </c>
    </row>
    <row r="121" spans="2:8" x14ac:dyDescent="0.25">
      <c r="B121" t="s">
        <v>2173</v>
      </c>
      <c r="D121" t="s">
        <v>2480</v>
      </c>
      <c r="E121" t="s">
        <v>2706</v>
      </c>
      <c r="F121" t="str">
        <f t="shared" si="3"/>
        <v xml:space="preserve">https://hl7.org/cda/us/ccda/StructureDefinition-ProductInstance.html </v>
      </c>
      <c r="G121" t="str">
        <f t="shared" si="4"/>
        <v xml:space="preserve">https://hl7.org/cda/stds/ccda/draft1/StructureDefinition- 2.16.840.1.113883.10.20.22.4.37 </v>
      </c>
      <c r="H121" t="str">
        <f t="shared" si="5"/>
        <v>{new:'https://hl7.org/cda/us/ccda/StructureDefinition-ProductInstance.html ', old:'https://hl7.org/cda/stds/ccda/draft1/StructureDefinition- 2.16.840.1.113883.10.20.22.4.37 ' },</v>
      </c>
    </row>
    <row r="122" spans="2:8" x14ac:dyDescent="0.25">
      <c r="B122" t="s">
        <v>2286</v>
      </c>
      <c r="C122" s="2">
        <v>44713</v>
      </c>
      <c r="D122" t="s">
        <v>2481</v>
      </c>
      <c r="E122" t="s">
        <v>2707</v>
      </c>
      <c r="F122" t="str">
        <f t="shared" si="3"/>
        <v xml:space="preserve">https://hl7.org/cda/us/ccda/StructureDefinition-SocialHistoryObservation.html </v>
      </c>
      <c r="G122" t="str">
        <f t="shared" si="4"/>
        <v>https://hl7.org/cda/stds/ccda/draft1/StructureDefinition- 2.16.840.1.113883.10.20.22.4.38</v>
      </c>
      <c r="H122" t="str">
        <f t="shared" si="5"/>
        <v>{new:'https://hl7.org/cda/us/ccda/StructureDefinition-SocialHistoryObservation.html ', old:'https://hl7.org/cda/stds/ccda/draft1/StructureDefinition- 2.16.840.1.113883.10.20.22.4.38' },</v>
      </c>
    </row>
    <row r="123" spans="2:8" x14ac:dyDescent="0.25">
      <c r="B123" t="s">
        <v>2287</v>
      </c>
      <c r="C123" s="2">
        <v>41799</v>
      </c>
      <c r="D123" t="s">
        <v>2482</v>
      </c>
      <c r="E123" t="s">
        <v>2708</v>
      </c>
      <c r="F123" t="str">
        <f t="shared" si="3"/>
        <v xml:space="preserve">https://hl7.org/cda/us/ccda/StructureDefinition-PlannedEncounter.html </v>
      </c>
      <c r="G123" t="str">
        <f t="shared" si="4"/>
        <v>https://hl7.org/cda/stds/ccda/draft1/StructureDefinition- 2.16.840.1.113883.10.20.22.4.40</v>
      </c>
      <c r="H123" t="str">
        <f t="shared" si="5"/>
        <v>{new:'https://hl7.org/cda/us/ccda/StructureDefinition-PlannedEncounter.html ', old:'https://hl7.org/cda/stds/ccda/draft1/StructureDefinition- 2.16.840.1.113883.10.20.22.4.40' },</v>
      </c>
    </row>
    <row r="124" spans="2:8" x14ac:dyDescent="0.25">
      <c r="B124" t="s">
        <v>2288</v>
      </c>
      <c r="C124" s="2">
        <v>44713</v>
      </c>
      <c r="D124" t="s">
        <v>2483</v>
      </c>
      <c r="E124" t="s">
        <v>2709</v>
      </c>
      <c r="F124" t="str">
        <f t="shared" si="3"/>
        <v xml:space="preserve">https://hl7.org/cda/us/ccda/StructureDefinition-PlannedProcedure.html </v>
      </c>
      <c r="G124" t="str">
        <f t="shared" si="4"/>
        <v>https://hl7.org/cda/stds/ccda/draft1/StructureDefinition- 2.16.840.1.113883.10.20.22.4.41</v>
      </c>
      <c r="H124" t="str">
        <f t="shared" si="5"/>
        <v>{new:'https://hl7.org/cda/us/ccda/StructureDefinition-PlannedProcedure.html ', old:'https://hl7.org/cda/stds/ccda/draft1/StructureDefinition- 2.16.840.1.113883.10.20.22.4.41' },</v>
      </c>
    </row>
    <row r="125" spans="2:8" x14ac:dyDescent="0.25">
      <c r="B125" t="s">
        <v>2289</v>
      </c>
      <c r="C125" s="2">
        <v>41799</v>
      </c>
      <c r="D125" t="s">
        <v>2484</v>
      </c>
      <c r="E125" t="s">
        <v>2710</v>
      </c>
      <c r="F125" t="str">
        <f t="shared" si="3"/>
        <v xml:space="preserve">https://hl7.org/cda/us/ccda/StructureDefinition-PlannedMedicationActivity.html </v>
      </c>
      <c r="G125" t="str">
        <f t="shared" si="4"/>
        <v>https://hl7.org/cda/stds/ccda/draft1/StructureDefinition- 2.16.840.1.113883.10.20.22.4.42</v>
      </c>
      <c r="H125" t="str">
        <f t="shared" si="5"/>
        <v>{new:'https://hl7.org/cda/us/ccda/StructureDefinition-PlannedMedicationActivity.html ', old:'https://hl7.org/cda/stds/ccda/draft1/StructureDefinition- 2.16.840.1.113883.10.20.22.4.42' },</v>
      </c>
    </row>
    <row r="126" spans="2:8" x14ac:dyDescent="0.25">
      <c r="B126" t="s">
        <v>2290</v>
      </c>
      <c r="C126" s="2">
        <v>45413</v>
      </c>
      <c r="D126" t="s">
        <v>2485</v>
      </c>
      <c r="E126" t="s">
        <v>2711</v>
      </c>
      <c r="F126" t="str">
        <f t="shared" si="3"/>
        <v xml:space="preserve">https://hl7.org/cda/us/ccda/StructureDefinition-PlannedSupply.html </v>
      </c>
      <c r="G126" t="str">
        <f t="shared" si="4"/>
        <v>https://hl7.org/cda/stds/ccda/draft1/StructureDefinition- 2.16.840.1.113883.10.20.22.4.43</v>
      </c>
      <c r="H126" t="str">
        <f t="shared" si="5"/>
        <v>{new:'https://hl7.org/cda/us/ccda/StructureDefinition-PlannedSupply.html ', old:'https://hl7.org/cda/stds/ccda/draft1/StructureDefinition- 2.16.840.1.113883.10.20.22.4.43' },</v>
      </c>
    </row>
    <row r="127" spans="2:8" x14ac:dyDescent="0.25">
      <c r="B127" t="s">
        <v>2291</v>
      </c>
      <c r="C127" s="2">
        <v>46143</v>
      </c>
      <c r="D127" t="s">
        <v>2486</v>
      </c>
      <c r="E127" t="s">
        <v>2712</v>
      </c>
      <c r="F127" t="str">
        <f t="shared" si="3"/>
        <v xml:space="preserve">https://hl7.org/cda/us/ccda/StructureDefinition-FamilyHistoryOrganizer.html </v>
      </c>
      <c r="G127" t="str">
        <f t="shared" si="4"/>
        <v>https://hl7.org/cda/stds/ccda/draft1/StructureDefinition- 2.16.840.1.113883.10.20.22.4.45</v>
      </c>
      <c r="H127" t="str">
        <f t="shared" si="5"/>
        <v>{new:'https://hl7.org/cda/us/ccda/StructureDefinition-FamilyHistoryOrganizer.html ', old:'https://hl7.org/cda/stds/ccda/draft1/StructureDefinition- 2.16.840.1.113883.10.20.22.4.45' },</v>
      </c>
    </row>
    <row r="128" spans="2:8" x14ac:dyDescent="0.25">
      <c r="B128" t="s">
        <v>2292</v>
      </c>
      <c r="C128" s="2">
        <v>42217</v>
      </c>
      <c r="D128" t="s">
        <v>2487</v>
      </c>
      <c r="E128" t="s">
        <v>2713</v>
      </c>
      <c r="F128" t="str">
        <f t="shared" ref="F128:F191" si="6">"https://hl7.org/cda/us/ccda/"&amp;E128</f>
        <v xml:space="preserve">https://hl7.org/cda/us/ccda/StructureDefinition-FamilyHistoryObservation.html </v>
      </c>
      <c r="G128" t="str">
        <f t="shared" ref="G128:G191" si="7">"https://hl7.org/cda/stds/ccda/draft1/StructureDefinition-"&amp;B128</f>
        <v>https://hl7.org/cda/stds/ccda/draft1/StructureDefinition- 2.16.840.1.113883.10.20.22.4.46</v>
      </c>
      <c r="H128" t="str">
        <f t="shared" si="5"/>
        <v>{new:'https://hl7.org/cda/us/ccda/StructureDefinition-FamilyHistoryObservation.html ', old:'https://hl7.org/cda/stds/ccda/draft1/StructureDefinition- 2.16.840.1.113883.10.20.22.4.46' },</v>
      </c>
    </row>
    <row r="129" spans="2:8" x14ac:dyDescent="0.25">
      <c r="B129" t="s">
        <v>2174</v>
      </c>
      <c r="D129" t="s">
        <v>2488</v>
      </c>
      <c r="E129" t="s">
        <v>2714</v>
      </c>
      <c r="F129" t="str">
        <f t="shared" si="6"/>
        <v xml:space="preserve">https://hl7.org/cda/us/ccda/StructureDefinition-FamilyHistoryDeathObservation.html </v>
      </c>
      <c r="G129" t="str">
        <f t="shared" si="7"/>
        <v xml:space="preserve">https://hl7.org/cda/stds/ccda/draft1/StructureDefinition- 2.16.840.1.113883.10.20.22.4.47 </v>
      </c>
      <c r="H129" t="str">
        <f t="shared" si="5"/>
        <v>{new:'https://hl7.org/cda/us/ccda/StructureDefinition-FamilyHistoryDeathObservation.html ', old:'https://hl7.org/cda/stds/ccda/draft1/StructureDefinition- 2.16.840.1.113883.10.20.22.4.47 ' },</v>
      </c>
    </row>
    <row r="130" spans="2:8" x14ac:dyDescent="0.25">
      <c r="B130" t="s">
        <v>2293</v>
      </c>
      <c r="C130" s="2">
        <v>45778</v>
      </c>
      <c r="D130" t="s">
        <v>2450</v>
      </c>
      <c r="E130" t="s">
        <v>2676</v>
      </c>
      <c r="F130" t="str">
        <f t="shared" si="6"/>
        <v xml:space="preserve">https://hl7.org/cda/us/ccda/StructureDefinition-AdvanceDirectiveObservation.html </v>
      </c>
      <c r="G130" t="str">
        <f t="shared" si="7"/>
        <v>https://hl7.org/cda/stds/ccda/draft1/StructureDefinition- 2.16.840.1.113883.10.20.22.4.48</v>
      </c>
      <c r="H130" t="str">
        <f t="shared" si="5"/>
        <v>{new:'https://hl7.org/cda/us/ccda/StructureDefinition-AdvanceDirectiveObservation.html ', old:'https://hl7.org/cda/stds/ccda/draft1/StructureDefinition- 2.16.840.1.113883.10.20.22.4.48' },</v>
      </c>
    </row>
    <row r="131" spans="2:8" x14ac:dyDescent="0.25">
      <c r="B131" t="s">
        <v>2294</v>
      </c>
      <c r="C131" s="2">
        <v>42217</v>
      </c>
      <c r="D131" t="s">
        <v>2489</v>
      </c>
      <c r="E131" t="s">
        <v>2715</v>
      </c>
      <c r="F131" t="str">
        <f t="shared" si="6"/>
        <v xml:space="preserve">https://hl7.org/cda/us/ccda/StructureDefinition-EncounterActivity.html </v>
      </c>
      <c r="G131" t="str">
        <f t="shared" si="7"/>
        <v>https://hl7.org/cda/stds/ccda/draft1/StructureDefinition- 2.16.840.1.113883.10.20.22.4.49</v>
      </c>
      <c r="H131" t="str">
        <f t="shared" si="5"/>
        <v>{new:'https://hl7.org/cda/us/ccda/StructureDefinition-EncounterActivity.html ', old:'https://hl7.org/cda/stds/ccda/draft1/StructureDefinition- 2.16.840.1.113883.10.20.22.4.49' },</v>
      </c>
    </row>
    <row r="132" spans="2:8" x14ac:dyDescent="0.25">
      <c r="B132" t="s">
        <v>2295</v>
      </c>
      <c r="C132" s="2">
        <v>41799</v>
      </c>
      <c r="D132" t="s">
        <v>2490</v>
      </c>
      <c r="E132" t="s">
        <v>2716</v>
      </c>
      <c r="F132" t="str">
        <f t="shared" si="6"/>
        <v xml:space="preserve">https://hl7.org/cda/us/ccda/StructureDefinition-NonMedicinalSupplyActivity.html </v>
      </c>
      <c r="G132" t="str">
        <f t="shared" si="7"/>
        <v>https://hl7.org/cda/stds/ccda/draft1/StructureDefinition- 2.16.840.1.113883.10.20.22.4.50</v>
      </c>
      <c r="H132" t="str">
        <f t="shared" si="5"/>
        <v>{new:'https://hl7.org/cda/us/ccda/StructureDefinition-NonMedicinalSupplyActivity.html ', old:'https://hl7.org/cda/stds/ccda/draft1/StructureDefinition- 2.16.840.1.113883.10.20.22.4.50' },</v>
      </c>
    </row>
    <row r="133" spans="2:8" x14ac:dyDescent="0.25">
      <c r="B133" t="s">
        <v>2296</v>
      </c>
      <c r="C133" s="2">
        <v>42217</v>
      </c>
      <c r="D133" t="s">
        <v>2491</v>
      </c>
      <c r="E133" t="s">
        <v>2717</v>
      </c>
      <c r="F133" t="str">
        <f t="shared" si="6"/>
        <v xml:space="preserve">https://hl7.org/cda/us/ccda/StructureDefinition-PostprocedureDiagnosis.html </v>
      </c>
      <c r="G133" t="str">
        <f t="shared" si="7"/>
        <v>https://hl7.org/cda/stds/ccda/draft1/StructureDefinition- 2.16.840.1.113883.10.20.22.4.51</v>
      </c>
      <c r="H133" t="str">
        <f t="shared" si="5"/>
        <v>{new:'https://hl7.org/cda/us/ccda/StructureDefinition-PostprocedureDiagnosis.html ', old:'https://hl7.org/cda/stds/ccda/draft1/StructureDefinition- 2.16.840.1.113883.10.20.22.4.51' },</v>
      </c>
    </row>
    <row r="134" spans="2:8" x14ac:dyDescent="0.25">
      <c r="B134" t="s">
        <v>2297</v>
      </c>
      <c r="C134" s="2">
        <v>42217</v>
      </c>
      <c r="D134" t="s">
        <v>2492</v>
      </c>
      <c r="E134" t="s">
        <v>2718</v>
      </c>
      <c r="F134" t="str">
        <f t="shared" si="6"/>
        <v xml:space="preserve">https://hl7.org/cda/us/ccda/StructureDefinition-ImmunizationActivity.html </v>
      </c>
      <c r="G134" t="str">
        <f t="shared" si="7"/>
        <v>https://hl7.org/cda/stds/ccda/draft1/StructureDefinition- 2.16.840.1.113883.10.20.22.4.52</v>
      </c>
      <c r="H134" t="str">
        <f t="shared" ref="H134:H197" si="8">"{new:'"&amp;F134&amp;"', old:'"&amp;G134&amp;"' },"</f>
        <v>{new:'https://hl7.org/cda/us/ccda/StructureDefinition-ImmunizationActivity.html ', old:'https://hl7.org/cda/stds/ccda/draft1/StructureDefinition- 2.16.840.1.113883.10.20.22.4.52' },</v>
      </c>
    </row>
    <row r="135" spans="2:8" x14ac:dyDescent="0.25">
      <c r="B135" t="s">
        <v>2298</v>
      </c>
      <c r="C135" s="2">
        <v>45413</v>
      </c>
      <c r="D135" t="s">
        <v>2493</v>
      </c>
      <c r="E135" t="s">
        <v>2719</v>
      </c>
      <c r="F135" t="str">
        <f t="shared" si="6"/>
        <v xml:space="preserve">https://hl7.org/cda/us/ccda/StructureDefinition-ImmunizationNotGivenReason.html </v>
      </c>
      <c r="G135" t="str">
        <f t="shared" si="7"/>
        <v>https://hl7.org/cda/stds/ccda/draft1/StructureDefinition- 2.16.840.1.113883.10.20.22.4.53</v>
      </c>
      <c r="H135" t="str">
        <f t="shared" si="8"/>
        <v>{new:'https://hl7.org/cda/us/ccda/StructureDefinition-ImmunizationNotGivenReason.html ', old:'https://hl7.org/cda/stds/ccda/draft1/StructureDefinition- 2.16.840.1.113883.10.20.22.4.53' },</v>
      </c>
    </row>
    <row r="136" spans="2:8" x14ac:dyDescent="0.25">
      <c r="B136" t="s">
        <v>2299</v>
      </c>
      <c r="C136" s="2">
        <v>41799</v>
      </c>
      <c r="D136" t="s">
        <v>2494</v>
      </c>
      <c r="E136" t="s">
        <v>2720</v>
      </c>
      <c r="F136" t="str">
        <f t="shared" si="6"/>
        <v xml:space="preserve">https://hl7.org/cda/us/ccda/StructureDefinition-ImmunizationMedicationInformation.html </v>
      </c>
      <c r="G136" t="str">
        <f t="shared" si="7"/>
        <v>https://hl7.org/cda/stds/ccda/draft1/StructureDefinition- 2.16.840.1.113883.10.20.22.4.54</v>
      </c>
      <c r="H136" t="str">
        <f t="shared" si="8"/>
        <v>{new:'https://hl7.org/cda/us/ccda/StructureDefinition-ImmunizationMedicationInformation.html ', old:'https://hl7.org/cda/stds/ccda/draft1/StructureDefinition- 2.16.840.1.113883.10.20.22.4.54' },</v>
      </c>
    </row>
    <row r="137" spans="2:8" x14ac:dyDescent="0.25">
      <c r="B137" t="s">
        <v>2300</v>
      </c>
      <c r="C137" s="2">
        <v>45413</v>
      </c>
      <c r="D137" t="s">
        <v>2495</v>
      </c>
      <c r="E137" t="s">
        <v>2721</v>
      </c>
      <c r="F137" t="str">
        <f t="shared" si="6"/>
        <v xml:space="preserve">https://hl7.org/cda/us/ccda/StructureDefinition-CoverageActivity.html </v>
      </c>
      <c r="G137" t="str">
        <f t="shared" si="7"/>
        <v>https://hl7.org/cda/stds/ccda/draft1/StructureDefinition- 2.16.840.1.113883.10.20.22.4.60</v>
      </c>
      <c r="H137" t="str">
        <f t="shared" si="8"/>
        <v>{new:'https://hl7.org/cda/us/ccda/StructureDefinition-CoverageActivity.html ', old:'https://hl7.org/cda/stds/ccda/draft1/StructureDefinition- 2.16.840.1.113883.10.20.22.4.60' },</v>
      </c>
    </row>
    <row r="138" spans="2:8" x14ac:dyDescent="0.25">
      <c r="B138" t="s">
        <v>2301</v>
      </c>
      <c r="C138" s="2">
        <v>45413</v>
      </c>
      <c r="D138" t="s">
        <v>2496</v>
      </c>
      <c r="E138" t="s">
        <v>2722</v>
      </c>
      <c r="F138" t="str">
        <f t="shared" si="6"/>
        <v xml:space="preserve">https://hl7.org/cda/us/ccda/StructureDefinition-PolicyActivity.html </v>
      </c>
      <c r="G138" t="str">
        <f t="shared" si="7"/>
        <v>https://hl7.org/cda/stds/ccda/draft1/StructureDefinition- 2.16.840.1.113883.10.20.22.4.61</v>
      </c>
      <c r="H138" t="str">
        <f t="shared" si="8"/>
        <v>{new:'https://hl7.org/cda/us/ccda/StructureDefinition-PolicyActivity.html ', old:'https://hl7.org/cda/stds/ccda/draft1/StructureDefinition- 2.16.840.1.113883.10.20.22.4.61' },</v>
      </c>
    </row>
    <row r="139" spans="2:8" x14ac:dyDescent="0.25">
      <c r="B139" t="s">
        <v>2175</v>
      </c>
      <c r="D139" t="s">
        <v>2497</v>
      </c>
      <c r="E139" t="s">
        <v>2723</v>
      </c>
      <c r="F139" t="str">
        <f t="shared" si="6"/>
        <v xml:space="preserve">https://hl7.org/cda/us/ccda/StructureDefinition-CommentActivity.html </v>
      </c>
      <c r="G139" t="str">
        <f t="shared" si="7"/>
        <v xml:space="preserve">https://hl7.org/cda/stds/ccda/draft1/StructureDefinition- 2.16.840.1.113883.10.20.22.4.64 </v>
      </c>
      <c r="H139" t="str">
        <f t="shared" si="8"/>
        <v>{new:'https://hl7.org/cda/us/ccda/StructureDefinition-CommentActivity.html ', old:'https://hl7.org/cda/stds/ccda/draft1/StructureDefinition- 2.16.840.1.113883.10.20.22.4.64 ' },</v>
      </c>
    </row>
    <row r="140" spans="2:8" x14ac:dyDescent="0.25">
      <c r="B140" t="s">
        <v>2302</v>
      </c>
      <c r="C140" s="2">
        <v>42217</v>
      </c>
      <c r="D140" t="s">
        <v>2498</v>
      </c>
      <c r="E140" t="s">
        <v>2724</v>
      </c>
      <c r="F140" t="str">
        <f t="shared" si="6"/>
        <v xml:space="preserve">https://hl7.org/cda/us/ccda/StructureDefinition-PreoperativeDiagnosis.html </v>
      </c>
      <c r="G140" t="str">
        <f t="shared" si="7"/>
        <v>https://hl7.org/cda/stds/ccda/draft1/StructureDefinition- 2.16.840.1.113883.10.20.22.4.65</v>
      </c>
      <c r="H140" t="str">
        <f t="shared" si="8"/>
        <v>{new:'https://hl7.org/cda/us/ccda/StructureDefinition-PreoperativeDiagnosis.html ', old:'https://hl7.org/cda/stds/ccda/draft1/StructureDefinition- 2.16.840.1.113883.10.20.22.4.65' },</v>
      </c>
    </row>
    <row r="141" spans="2:8" x14ac:dyDescent="0.25">
      <c r="B141" t="s">
        <v>2303</v>
      </c>
      <c r="C141" s="2">
        <v>41799</v>
      </c>
      <c r="D141" t="s">
        <v>2499</v>
      </c>
      <c r="E141" t="s">
        <v>2725</v>
      </c>
      <c r="F141" t="str">
        <f t="shared" si="6"/>
        <v xml:space="preserve">https://hl7.org/cda/us/ccda/StructureDefinition-FunctionalStatusOrganizer.html </v>
      </c>
      <c r="G141" t="str">
        <f t="shared" si="7"/>
        <v>https://hl7.org/cda/stds/ccda/draft1/StructureDefinition- 2.16.840.1.113883.10.20.22.4.66</v>
      </c>
      <c r="H141" t="str">
        <f t="shared" si="8"/>
        <v>{new:'https://hl7.org/cda/us/ccda/StructureDefinition-FunctionalStatusOrganizer.html ', old:'https://hl7.org/cda/stds/ccda/draft1/StructureDefinition- 2.16.840.1.113883.10.20.22.4.66' },</v>
      </c>
    </row>
    <row r="142" spans="2:8" x14ac:dyDescent="0.25">
      <c r="B142" t="s">
        <v>2304</v>
      </c>
      <c r="C142" s="2">
        <v>41799</v>
      </c>
      <c r="D142" t="s">
        <v>2500</v>
      </c>
      <c r="E142" t="s">
        <v>2726</v>
      </c>
      <c r="F142" t="str">
        <f t="shared" si="6"/>
        <v xml:space="preserve">https://hl7.org/cda/us/ccda/StructureDefinition-FunctionalStatusObservation.html </v>
      </c>
      <c r="G142" t="str">
        <f t="shared" si="7"/>
        <v>https://hl7.org/cda/stds/ccda/draft1/StructureDefinition- 2.16.840.1.113883.10.20.22.4.67</v>
      </c>
      <c r="H142" t="str">
        <f t="shared" si="8"/>
        <v>{new:'https://hl7.org/cda/us/ccda/StructureDefinition-FunctionalStatusObservation.html ', old:'https://hl7.org/cda/stds/ccda/draft1/StructureDefinition- 2.16.840.1.113883.10.20.22.4.67' },</v>
      </c>
    </row>
    <row r="143" spans="2:8" x14ac:dyDescent="0.25">
      <c r="B143" t="s">
        <v>2305</v>
      </c>
      <c r="C143" s="2">
        <v>44713</v>
      </c>
      <c r="D143" t="s">
        <v>2501</v>
      </c>
      <c r="E143" t="s">
        <v>2727</v>
      </c>
      <c r="F143" t="str">
        <f t="shared" si="6"/>
        <v xml:space="preserve">https://hl7.org/cda/us/ccda/StructureDefinition-AssessmentScaleObservation.html </v>
      </c>
      <c r="G143" t="str">
        <f t="shared" si="7"/>
        <v>https://hl7.org/cda/stds/ccda/draft1/StructureDefinition- 2.16.840.1.113883.10.20.22.4.69</v>
      </c>
      <c r="H143" t="str">
        <f t="shared" si="8"/>
        <v>{new:'https://hl7.org/cda/us/ccda/StructureDefinition-AssessmentScaleObservation.html ', old:'https://hl7.org/cda/stds/ccda/draft1/StructureDefinition- 2.16.840.1.113883.10.20.22.4.69' },</v>
      </c>
    </row>
    <row r="144" spans="2:8" x14ac:dyDescent="0.25">
      <c r="B144" t="s">
        <v>2176</v>
      </c>
      <c r="D144" t="s">
        <v>2502</v>
      </c>
      <c r="E144" t="s">
        <v>2728</v>
      </c>
      <c r="F144" t="str">
        <f t="shared" si="6"/>
        <v xml:space="preserve">https://hl7.org/cda/us/ccda/StructureDefinition-CaregiverCharacteristics.html </v>
      </c>
      <c r="G144" t="str">
        <f t="shared" si="7"/>
        <v xml:space="preserve">https://hl7.org/cda/stds/ccda/draft1/StructureDefinition- 2.16.840.1.113883.10.20.22.4.72 </v>
      </c>
      <c r="H144" t="str">
        <f t="shared" si="8"/>
        <v>{new:'https://hl7.org/cda/us/ccda/StructureDefinition-CaregiverCharacteristics.html ', old:'https://hl7.org/cda/stds/ccda/draft1/StructureDefinition- 2.16.840.1.113883.10.20.22.4.72 ' },</v>
      </c>
    </row>
    <row r="145" spans="2:8" x14ac:dyDescent="0.25">
      <c r="B145" t="s">
        <v>2306</v>
      </c>
      <c r="C145" s="2">
        <v>45413</v>
      </c>
      <c r="D145" t="s">
        <v>2503</v>
      </c>
      <c r="E145" t="s">
        <v>2729</v>
      </c>
      <c r="F145" t="str">
        <f t="shared" si="6"/>
        <v xml:space="preserve">https://hl7.org/cda/us/ccda/StructureDefinition-MentalStatusObservation.html </v>
      </c>
      <c r="G145" t="str">
        <f t="shared" si="7"/>
        <v>https://hl7.org/cda/stds/ccda/draft1/StructureDefinition- 2.16.840.1.113883.10.20.22.4.74</v>
      </c>
      <c r="H145" t="str">
        <f t="shared" si="8"/>
        <v>{new:'https://hl7.org/cda/us/ccda/StructureDefinition-MentalStatusObservation.html ', old:'https://hl7.org/cda/stds/ccda/draft1/StructureDefinition- 2.16.840.1.113883.10.20.22.4.74' },</v>
      </c>
    </row>
    <row r="146" spans="2:8" x14ac:dyDescent="0.25">
      <c r="B146" t="s">
        <v>2307</v>
      </c>
      <c r="C146" s="2">
        <v>45413</v>
      </c>
      <c r="D146" t="s">
        <v>2504</v>
      </c>
      <c r="E146" t="s">
        <v>2730</v>
      </c>
      <c r="F146" t="str">
        <f t="shared" si="6"/>
        <v xml:space="preserve">https://hl7.org/cda/us/ccda/StructureDefinition-MentalStatusOrganizer.html </v>
      </c>
      <c r="G146" t="str">
        <f t="shared" si="7"/>
        <v>https://hl7.org/cda/stds/ccda/draft1/StructureDefinition- 2.16.840.1.113883.10.20.22.4.75</v>
      </c>
      <c r="H146" t="str">
        <f t="shared" si="8"/>
        <v>{new:'https://hl7.org/cda/us/ccda/StructureDefinition-MentalStatusOrganizer.html ', old:'https://hl7.org/cda/stds/ccda/draft1/StructureDefinition- 2.16.840.1.113883.10.20.22.4.75' },</v>
      </c>
    </row>
    <row r="147" spans="2:8" x14ac:dyDescent="0.25">
      <c r="B147" t="s">
        <v>2308</v>
      </c>
      <c r="C147" s="2">
        <v>45413</v>
      </c>
      <c r="D147" t="s">
        <v>2505</v>
      </c>
      <c r="E147" t="s">
        <v>2731</v>
      </c>
      <c r="F147" t="str">
        <f t="shared" si="6"/>
        <v xml:space="preserve">https://hl7.org/cda/us/ccda/StructureDefinition-NumberofPressureUlcersObservation.html </v>
      </c>
      <c r="G147" t="str">
        <f t="shared" si="7"/>
        <v>https://hl7.org/cda/stds/ccda/draft1/StructureDefinition- 2.16.840.1.113883.10.20.22.4.76</v>
      </c>
      <c r="H147" t="str">
        <f t="shared" si="8"/>
        <v>{new:'https://hl7.org/cda/us/ccda/StructureDefinition-NumberofPressureUlcersObservation.html ', old:'https://hl7.org/cda/stds/ccda/draft1/StructureDefinition- 2.16.840.1.113883.10.20.22.4.76' },</v>
      </c>
    </row>
    <row r="148" spans="2:8" x14ac:dyDescent="0.25">
      <c r="B148" t="s">
        <v>2177</v>
      </c>
      <c r="D148" t="s">
        <v>2506</v>
      </c>
      <c r="E148" t="s">
        <v>2732</v>
      </c>
      <c r="F148" t="str">
        <f t="shared" si="6"/>
        <v xml:space="preserve">https://hl7.org/cda/us/ccda/StructureDefinition-HighestPressureUlcerStage.html </v>
      </c>
      <c r="G148" t="str">
        <f t="shared" si="7"/>
        <v xml:space="preserve">https://hl7.org/cda/stds/ccda/draft1/StructureDefinition- 2.16.840.1.113883.10.20.22.4.77 </v>
      </c>
      <c r="H148" t="str">
        <f t="shared" si="8"/>
        <v>{new:'https://hl7.org/cda/us/ccda/StructureDefinition-HighestPressureUlcerStage.html ', old:'https://hl7.org/cda/stds/ccda/draft1/StructureDefinition- 2.16.840.1.113883.10.20.22.4.77 ' },</v>
      </c>
    </row>
    <row r="149" spans="2:8" x14ac:dyDescent="0.25">
      <c r="B149" t="s">
        <v>2309</v>
      </c>
      <c r="C149" s="2">
        <v>42217</v>
      </c>
      <c r="D149" t="s">
        <v>2507</v>
      </c>
      <c r="E149" t="s">
        <v>2733</v>
      </c>
      <c r="F149" t="str">
        <f t="shared" si="6"/>
        <v xml:space="preserve">https://hl7.org/cda/us/ccda/StructureDefinition-DeceasedObservation.html </v>
      </c>
      <c r="G149" t="str">
        <f t="shared" si="7"/>
        <v>https://hl7.org/cda/stds/ccda/draft1/StructureDefinition- 2.16.840.1.113883.10.20.22.4.79</v>
      </c>
      <c r="H149" t="str">
        <f t="shared" si="8"/>
        <v>{new:'https://hl7.org/cda/us/ccda/StructureDefinition-DeceasedObservation.html ', old:'https://hl7.org/cda/stds/ccda/draft1/StructureDefinition- 2.16.840.1.113883.10.20.22.4.79' },</v>
      </c>
    </row>
    <row r="150" spans="2:8" x14ac:dyDescent="0.25">
      <c r="B150" t="s">
        <v>2310</v>
      </c>
      <c r="C150" s="2">
        <v>45413</v>
      </c>
      <c r="D150" t="s">
        <v>2508</v>
      </c>
      <c r="E150" t="s">
        <v>2734</v>
      </c>
      <c r="F150" t="str">
        <f t="shared" si="6"/>
        <v xml:space="preserve">https://hl7.org/cda/us/ccda/StructureDefinition-EncounterDiagnosis.html </v>
      </c>
      <c r="G150" t="str">
        <f t="shared" si="7"/>
        <v>https://hl7.org/cda/stds/ccda/draft1/StructureDefinition- 2.16.840.1.113883.10.20.22.4.80</v>
      </c>
      <c r="H150" t="str">
        <f t="shared" si="8"/>
        <v>{new:'https://hl7.org/cda/us/ccda/StructureDefinition-EncounterDiagnosis.html ', old:'https://hl7.org/cda/stds/ccda/draft1/StructureDefinition- 2.16.840.1.113883.10.20.22.4.80' },</v>
      </c>
    </row>
    <row r="151" spans="2:8" x14ac:dyDescent="0.25">
      <c r="B151" t="s">
        <v>2311</v>
      </c>
      <c r="C151" s="2">
        <v>44713</v>
      </c>
      <c r="D151" t="s">
        <v>2509</v>
      </c>
      <c r="E151" t="s">
        <v>2735</v>
      </c>
      <c r="F151" t="str">
        <f t="shared" si="6"/>
        <v xml:space="preserve">https://hl7.org/cda/us/ccda/StructureDefinition-AssessmentScaleSupportingObservation.html </v>
      </c>
      <c r="G151" t="str">
        <f t="shared" si="7"/>
        <v>https://hl7.org/cda/stds/ccda/draft1/StructureDefinition- 2.16.840.1.113883.10.20.22.4.86</v>
      </c>
      <c r="H151" t="str">
        <f t="shared" si="8"/>
        <v>{new:'https://hl7.org/cda/us/ccda/StructureDefinition-AssessmentScaleSupportingObservation.html ', old:'https://hl7.org/cda/stds/ccda/draft1/StructureDefinition- 2.16.840.1.113883.10.20.22.4.86' },</v>
      </c>
    </row>
    <row r="152" spans="2:8" x14ac:dyDescent="0.25">
      <c r="B152" t="s">
        <v>2178</v>
      </c>
      <c r="D152" t="s">
        <v>2496</v>
      </c>
      <c r="E152" t="s">
        <v>2722</v>
      </c>
      <c r="F152" t="str">
        <f t="shared" si="6"/>
        <v xml:space="preserve">https://hl7.org/cda/us/ccda/StructureDefinition-PolicyActivity.html </v>
      </c>
      <c r="G152" t="str">
        <f t="shared" si="7"/>
        <v xml:space="preserve">https://hl7.org/cda/stds/ccda/draft1/StructureDefinition- 2.16.840.1.113883.10.20.22.4.87 </v>
      </c>
      <c r="H152" t="str">
        <f t="shared" si="8"/>
        <v>{new:'https://hl7.org/cda/us/ccda/StructureDefinition-PolicyActivity.html ', old:'https://hl7.org/cda/stds/ccda/draft1/StructureDefinition- 2.16.840.1.113883.10.20.22.4.87 ' },</v>
      </c>
    </row>
    <row r="153" spans="2:8" x14ac:dyDescent="0.25">
      <c r="B153" t="s">
        <v>2179</v>
      </c>
      <c r="D153" t="s">
        <v>2496</v>
      </c>
      <c r="E153" t="s">
        <v>2722</v>
      </c>
      <c r="F153" t="str">
        <f t="shared" si="6"/>
        <v xml:space="preserve">https://hl7.org/cda/us/ccda/StructureDefinition-PolicyActivity.html </v>
      </c>
      <c r="G153" t="str">
        <f t="shared" si="7"/>
        <v xml:space="preserve">https://hl7.org/cda/stds/ccda/draft1/StructureDefinition- 2.16.840.1.113883.10.20.22.4.88 </v>
      </c>
      <c r="H153" t="str">
        <f t="shared" si="8"/>
        <v>{new:'https://hl7.org/cda/us/ccda/StructureDefinition-PolicyActivity.html ', old:'https://hl7.org/cda/stds/ccda/draft1/StructureDefinition- 2.16.840.1.113883.10.20.22.4.88 ' },</v>
      </c>
    </row>
    <row r="154" spans="2:8" x14ac:dyDescent="0.25">
      <c r="B154" t="s">
        <v>2180</v>
      </c>
      <c r="D154" t="s">
        <v>2496</v>
      </c>
      <c r="E154" t="s">
        <v>2722</v>
      </c>
      <c r="F154" t="str">
        <f t="shared" si="6"/>
        <v xml:space="preserve">https://hl7.org/cda/us/ccda/StructureDefinition-PolicyActivity.html </v>
      </c>
      <c r="G154" t="str">
        <f t="shared" si="7"/>
        <v xml:space="preserve">https://hl7.org/cda/stds/ccda/draft1/StructureDefinition- 2.16.840.1.113883.10.20.22.4.89 </v>
      </c>
      <c r="H154" t="str">
        <f t="shared" si="8"/>
        <v>{new:'https://hl7.org/cda/us/ccda/StructureDefinition-PolicyActivity.html ', old:'https://hl7.org/cda/stds/ccda/draft1/StructureDefinition- 2.16.840.1.113883.10.20.22.4.89 ' },</v>
      </c>
    </row>
    <row r="155" spans="2:8" x14ac:dyDescent="0.25">
      <c r="B155" t="s">
        <v>2181</v>
      </c>
      <c r="D155" t="s">
        <v>2496</v>
      </c>
      <c r="E155" t="s">
        <v>2722</v>
      </c>
      <c r="F155" t="str">
        <f t="shared" si="6"/>
        <v xml:space="preserve">https://hl7.org/cda/us/ccda/StructureDefinition-PolicyActivity.html </v>
      </c>
      <c r="G155" t="str">
        <f t="shared" si="7"/>
        <v xml:space="preserve">https://hl7.org/cda/stds/ccda/draft1/StructureDefinition- 2.16.840.1.113883.10.20.22.4.90 </v>
      </c>
      <c r="H155" t="str">
        <f t="shared" si="8"/>
        <v>{new:'https://hl7.org/cda/us/ccda/StructureDefinition-PolicyActivity.html ', old:'https://hl7.org/cda/stds/ccda/draft1/StructureDefinition- 2.16.840.1.113883.10.20.22.4.90 ' },</v>
      </c>
    </row>
    <row r="156" spans="2:8" x14ac:dyDescent="0.25">
      <c r="B156" t="s">
        <v>2182</v>
      </c>
      <c r="D156" t="s">
        <v>2510</v>
      </c>
      <c r="E156" t="s">
        <v>2736</v>
      </c>
      <c r="F156" t="str">
        <f t="shared" si="6"/>
        <v xml:space="preserve">https://hl7.org/cda/us/ccda/StructureDefinition-CharacteristicsofHomeEnvironment.html </v>
      </c>
      <c r="G156" t="str">
        <f t="shared" si="7"/>
        <v xml:space="preserve">https://hl7.org/cda/stds/ccda/draft1/StructureDefinition- 2.16.840.1.113883.10.20.22.4.109 </v>
      </c>
      <c r="H156" t="str">
        <f t="shared" si="8"/>
        <v>{new:'https://hl7.org/cda/us/ccda/StructureDefinition-CharacteristicsofHomeEnvironment.html ', old:'https://hl7.org/cda/stds/ccda/draft1/StructureDefinition- 2.16.840.1.113883.10.20.22.4.109 ' },</v>
      </c>
    </row>
    <row r="157" spans="2:8" x14ac:dyDescent="0.25">
      <c r="B157" t="s">
        <v>2183</v>
      </c>
      <c r="D157" t="s">
        <v>2511</v>
      </c>
      <c r="E157" t="s">
        <v>2737</v>
      </c>
      <c r="F157" t="str">
        <f t="shared" si="6"/>
        <v xml:space="preserve">https://hl7.org/cda/us/ccda/StructureDefinition-ProgressTowardGoalObservation.html </v>
      </c>
      <c r="G157" t="str">
        <f t="shared" si="7"/>
        <v xml:space="preserve">https://hl7.org/cda/stds/ccda/draft1/StructureDefinition- 2.16.840.1.113883.10.20.22.4.110 </v>
      </c>
      <c r="H157" t="str">
        <f t="shared" si="8"/>
        <v>{new:'https://hl7.org/cda/us/ccda/StructureDefinition-ProgressTowardGoalObservation.html ', old:'https://hl7.org/cda/stds/ccda/draft1/StructureDefinition- 2.16.840.1.113883.10.20.22.4.110 ' },</v>
      </c>
    </row>
    <row r="158" spans="2:8" x14ac:dyDescent="0.25">
      <c r="B158" t="s">
        <v>2184</v>
      </c>
      <c r="D158" t="s">
        <v>2512</v>
      </c>
      <c r="E158" t="s">
        <v>2738</v>
      </c>
      <c r="F158" t="str">
        <f t="shared" si="6"/>
        <v xml:space="preserve">https://hl7.org/cda/us/ccda/StructureDefinition-CulturalandReligiousObservation.html </v>
      </c>
      <c r="G158" t="str">
        <f t="shared" si="7"/>
        <v xml:space="preserve">https://hl7.org/cda/stds/ccda/draft1/StructureDefinition- 2.16.840.1.113883.10.20.22.4.111 </v>
      </c>
      <c r="H158" t="str">
        <f t="shared" si="8"/>
        <v>{new:'https://hl7.org/cda/us/ccda/StructureDefinition-CulturalandReligiousObservation.html ', old:'https://hl7.org/cda/stds/ccda/draft1/StructureDefinition- 2.16.840.1.113883.10.20.22.4.111 ' },</v>
      </c>
    </row>
    <row r="159" spans="2:8" x14ac:dyDescent="0.25">
      <c r="B159" t="s">
        <v>2185</v>
      </c>
      <c r="D159" t="s">
        <v>2513</v>
      </c>
      <c r="E159" t="s">
        <v>2739</v>
      </c>
      <c r="F159" t="str">
        <f t="shared" si="6"/>
        <v xml:space="preserve">https://hl7.org/cda/us/ccda/StructureDefinition-PrognosisObservation.html </v>
      </c>
      <c r="G159" t="str">
        <f t="shared" si="7"/>
        <v xml:space="preserve">https://hl7.org/cda/stds/ccda/draft1/StructureDefinition- 2.16.840.1.113883.10.20.22.4.113 </v>
      </c>
      <c r="H159" t="str">
        <f t="shared" si="8"/>
        <v>{new:'https://hl7.org/cda/us/ccda/StructureDefinition-PrognosisObservation.html ', old:'https://hl7.org/cda/stds/ccda/draft1/StructureDefinition- 2.16.840.1.113883.10.20.22.4.113 ' },</v>
      </c>
    </row>
    <row r="160" spans="2:8" x14ac:dyDescent="0.25">
      <c r="B160" t="s">
        <v>2312</v>
      </c>
      <c r="C160" s="2">
        <v>42217</v>
      </c>
      <c r="D160" t="s">
        <v>2514</v>
      </c>
      <c r="E160" t="s">
        <v>2740</v>
      </c>
      <c r="F160" t="str">
        <f t="shared" si="6"/>
        <v xml:space="preserve">https://hl7.org/cda/us/ccda/StructureDefinition-LongitudinalCareWoundObservation.html </v>
      </c>
      <c r="G160" t="str">
        <f t="shared" si="7"/>
        <v>https://hl7.org/cda/stds/ccda/draft1/StructureDefinition- 2.16.840.1.113883.10.20.22.4.114</v>
      </c>
      <c r="H160" t="str">
        <f t="shared" si="8"/>
        <v>{new:'https://hl7.org/cda/us/ccda/StructureDefinition-LongitudinalCareWoundObservation.html ', old:'https://hl7.org/cda/stds/ccda/draft1/StructureDefinition- 2.16.840.1.113883.10.20.22.4.114' },</v>
      </c>
    </row>
    <row r="161" spans="2:8" x14ac:dyDescent="0.25">
      <c r="B161" t="s">
        <v>2313</v>
      </c>
      <c r="C161" s="2">
        <v>41799</v>
      </c>
      <c r="D161" t="s">
        <v>2515</v>
      </c>
      <c r="E161" t="s">
        <v>2741</v>
      </c>
      <c r="F161" t="str">
        <f t="shared" si="6"/>
        <v xml:space="preserve">https://hl7.org/cda/us/ccda/StructureDefinition-ExternalDocumentReference.html </v>
      </c>
      <c r="G161" t="str">
        <f t="shared" si="7"/>
        <v>https://hl7.org/cda/stds/ccda/draft1/StructureDefinition- 2.16.840.1.113883.10.20.22.4.115</v>
      </c>
      <c r="H161" t="str">
        <f t="shared" si="8"/>
        <v>{new:'https://hl7.org/cda/us/ccda/StructureDefinition-ExternalDocumentReference.html ', old:'https://hl7.org/cda/stds/ccda/draft1/StructureDefinition- 2.16.840.1.113883.10.20.22.4.115' },</v>
      </c>
    </row>
    <row r="162" spans="2:8" x14ac:dyDescent="0.25">
      <c r="B162" t="s">
        <v>2186</v>
      </c>
      <c r="D162" t="s">
        <v>2516</v>
      </c>
      <c r="E162" t="s">
        <v>2742</v>
      </c>
      <c r="F162" t="str">
        <f t="shared" si="6"/>
        <v xml:space="preserve">https://hl7.org/cda/us/ccda/StructureDefinition-SubstanceAdministeredAct.html </v>
      </c>
      <c r="G162" t="str">
        <f t="shared" si="7"/>
        <v xml:space="preserve">https://hl7.org/cda/stds/ccda/draft1/StructureDefinition- 2.16.840.1.113883.10.20.22.4.118 </v>
      </c>
      <c r="H162" t="str">
        <f t="shared" si="8"/>
        <v>{new:'https://hl7.org/cda/us/ccda/StructureDefinition-SubstanceAdministeredAct.html ', old:'https://hl7.org/cda/stds/ccda/draft1/StructureDefinition- 2.16.840.1.113883.10.20.22.4.118 ' },</v>
      </c>
    </row>
    <row r="163" spans="2:8" x14ac:dyDescent="0.25">
      <c r="B163" t="s">
        <v>2187</v>
      </c>
      <c r="D163" t="s">
        <v>2517</v>
      </c>
      <c r="E163" t="s">
        <v>2743</v>
      </c>
      <c r="F163" t="str">
        <f t="shared" si="6"/>
        <v xml:space="preserve">https://hl7.org/cda/us/ccda/StructureDefinition-PlannedImmunizationActivity.html </v>
      </c>
      <c r="G163" t="str">
        <f t="shared" si="7"/>
        <v xml:space="preserve">https://hl7.org/cda/stds/ccda/draft1/StructureDefinition- 2.16.840.1.113883.10.20.22.4.120 </v>
      </c>
      <c r="H163" t="str">
        <f t="shared" si="8"/>
        <v>{new:'https://hl7.org/cda/us/ccda/StructureDefinition-PlannedImmunizationActivity.html ', old:'https://hl7.org/cda/stds/ccda/draft1/StructureDefinition- 2.16.840.1.113883.10.20.22.4.120 ' },</v>
      </c>
    </row>
    <row r="164" spans="2:8" x14ac:dyDescent="0.25">
      <c r="B164" t="s">
        <v>2314</v>
      </c>
      <c r="C164" s="2">
        <v>44713</v>
      </c>
      <c r="D164" t="s">
        <v>2518</v>
      </c>
      <c r="E164" t="s">
        <v>2744</v>
      </c>
      <c r="F164" t="str">
        <f t="shared" si="6"/>
        <v xml:space="preserve">https://hl7.org/cda/us/ccda/StructureDefinition-GoalObservation.html </v>
      </c>
      <c r="G164" t="str">
        <f t="shared" si="7"/>
        <v>https://hl7.org/cda/stds/ccda/draft1/StructureDefinition- 2.16.840.1.113883.10.20.22.4.121</v>
      </c>
      <c r="H164" t="str">
        <f t="shared" si="8"/>
        <v>{new:'https://hl7.org/cda/us/ccda/StructureDefinition-GoalObservation.html ', old:'https://hl7.org/cda/stds/ccda/draft1/StructureDefinition- 2.16.840.1.113883.10.20.22.4.121' },</v>
      </c>
    </row>
    <row r="165" spans="2:8" x14ac:dyDescent="0.25">
      <c r="B165" t="s">
        <v>2188</v>
      </c>
      <c r="D165" t="s">
        <v>2519</v>
      </c>
      <c r="E165" t="s">
        <v>2745</v>
      </c>
      <c r="F165" t="str">
        <f t="shared" si="6"/>
        <v xml:space="preserve">https://hl7.org/cda/us/ccda/StructureDefinition-EntryReference.html </v>
      </c>
      <c r="G165" t="str">
        <f t="shared" si="7"/>
        <v xml:space="preserve">https://hl7.org/cda/stds/ccda/draft1/StructureDefinition- 2.16.840.1.113883.10.20.22.4.122 </v>
      </c>
      <c r="H165" t="str">
        <f t="shared" si="8"/>
        <v>{new:'https://hl7.org/cda/us/ccda/StructureDefinition-EntryReference.html ', old:'https://hl7.org/cda/stds/ccda/draft1/StructureDefinition- 2.16.840.1.113883.10.20.22.4.122 ' },</v>
      </c>
    </row>
    <row r="166" spans="2:8" x14ac:dyDescent="0.25">
      <c r="B166" t="s">
        <v>2189</v>
      </c>
      <c r="D166" t="s">
        <v>2520</v>
      </c>
      <c r="E166" t="s">
        <v>2746</v>
      </c>
      <c r="F166" t="str">
        <f t="shared" si="6"/>
        <v xml:space="preserve">https://hl7.org/cda/us/ccda/StructureDefinition-DrugMonitoringAct.html </v>
      </c>
      <c r="G166" t="str">
        <f t="shared" si="7"/>
        <v xml:space="preserve">https://hl7.org/cda/stds/ccda/draft1/StructureDefinition- 2.16.840.1.113883.10.20.22.4.123 </v>
      </c>
      <c r="H166" t="str">
        <f t="shared" si="8"/>
        <v>{new:'https://hl7.org/cda/us/ccda/StructureDefinition-DrugMonitoringAct.html ', old:'https://hl7.org/cda/stds/ccda/draft1/StructureDefinition- 2.16.840.1.113883.10.20.22.4.123 ' },</v>
      </c>
    </row>
    <row r="167" spans="2:8" x14ac:dyDescent="0.25">
      <c r="B167" t="s">
        <v>2190</v>
      </c>
      <c r="D167" t="s">
        <v>2521</v>
      </c>
      <c r="E167" t="s">
        <v>2747</v>
      </c>
      <c r="F167" t="str">
        <f t="shared" si="6"/>
        <v xml:space="preserve">https://hl7.org/cda/us/ccda/StructureDefinition-NutritionalStatusObservation.html </v>
      </c>
      <c r="G167" t="str">
        <f t="shared" si="7"/>
        <v xml:space="preserve">https://hl7.org/cda/stds/ccda/draft1/StructureDefinition- 2.16.840.1.113883.10.20.22.4.124 </v>
      </c>
      <c r="H167" t="str">
        <f t="shared" si="8"/>
        <v>{new:'https://hl7.org/cda/us/ccda/StructureDefinition-NutritionalStatusObservation.html ', old:'https://hl7.org/cda/stds/ccda/draft1/StructureDefinition- 2.16.840.1.113883.10.20.22.4.124 ' },</v>
      </c>
    </row>
    <row r="168" spans="2:8" x14ac:dyDescent="0.25">
      <c r="B168" t="s">
        <v>2191</v>
      </c>
      <c r="D168" t="s">
        <v>2522</v>
      </c>
      <c r="E168" t="s">
        <v>2748</v>
      </c>
      <c r="F168" t="str">
        <f t="shared" si="6"/>
        <v xml:space="preserve">https://hl7.org/cda/us/ccda/StructureDefinition-SensoryStatus.html </v>
      </c>
      <c r="G168" t="str">
        <f t="shared" si="7"/>
        <v xml:space="preserve">https://hl7.org/cda/stds/ccda/draft1/StructureDefinition- 2.16.840.1.113883.10.20.22.4.127 </v>
      </c>
      <c r="H168" t="str">
        <f t="shared" si="8"/>
        <v>{new:'https://hl7.org/cda/us/ccda/StructureDefinition-SensoryStatus.html ', old:'https://hl7.org/cda/stds/ccda/draft1/StructureDefinition- 2.16.840.1.113883.10.20.22.4.127 ' },</v>
      </c>
    </row>
    <row r="169" spans="2:8" x14ac:dyDescent="0.25">
      <c r="B169" t="s">
        <v>2192</v>
      </c>
      <c r="D169" t="s">
        <v>2523</v>
      </c>
      <c r="E169" t="s">
        <v>2749</v>
      </c>
      <c r="F169" t="str">
        <f t="shared" si="6"/>
        <v xml:space="preserve">https://hl7.org/cda/us/ccda/StructureDefinition-SelfCareActivitiesADLandIADL.html </v>
      </c>
      <c r="G169" t="str">
        <f t="shared" si="7"/>
        <v xml:space="preserve">https://hl7.org/cda/stds/ccda/draft1/StructureDefinition- 2.16.840.1.113883.10.20.22.4.128 </v>
      </c>
      <c r="H169" t="str">
        <f t="shared" si="8"/>
        <v>{new:'https://hl7.org/cda/us/ccda/StructureDefinition-SelfCareActivitiesADLandIADL.html ', old:'https://hl7.org/cda/stds/ccda/draft1/StructureDefinition- 2.16.840.1.113883.10.20.22.4.128 ' },</v>
      </c>
    </row>
    <row r="170" spans="2:8" x14ac:dyDescent="0.25">
      <c r="B170" t="s">
        <v>2315</v>
      </c>
      <c r="C170" s="2">
        <v>45413</v>
      </c>
      <c r="D170" t="s">
        <v>2524</v>
      </c>
      <c r="E170" t="s">
        <v>2750</v>
      </c>
      <c r="F170" t="str">
        <f t="shared" si="6"/>
        <v xml:space="preserve">https://hl7.org/cda/us/ccda/StructureDefinition-PlannedCoverage.html </v>
      </c>
      <c r="G170" t="str">
        <f t="shared" si="7"/>
        <v>https://hl7.org/cda/stds/ccda/draft1/StructureDefinition- 2.16.840.1.113883.10.20.22.4.129</v>
      </c>
      <c r="H170" t="str">
        <f t="shared" si="8"/>
        <v>{new:'https://hl7.org/cda/us/ccda/StructureDefinition-PlannedCoverage.html ', old:'https://hl7.org/cda/stds/ccda/draft1/StructureDefinition- 2.16.840.1.113883.10.20.22.4.129' },</v>
      </c>
    </row>
    <row r="171" spans="2:8" x14ac:dyDescent="0.25">
      <c r="B171" t="s">
        <v>2193</v>
      </c>
      <c r="D171" t="s">
        <v>2525</v>
      </c>
      <c r="E171" t="s">
        <v>2751</v>
      </c>
      <c r="F171" t="str">
        <f t="shared" si="6"/>
        <v xml:space="preserve">https://hl7.org/cda/us/ccda/StructureDefinition-NutritionRecommendation.html </v>
      </c>
      <c r="G171" t="str">
        <f t="shared" si="7"/>
        <v xml:space="preserve">https://hl7.org/cda/stds/ccda/draft1/StructureDefinition- 2.16.840.1.113883.10.20.22.4.130 </v>
      </c>
      <c r="H171" t="str">
        <f t="shared" si="8"/>
        <v>{new:'https://hl7.org/cda/us/ccda/StructureDefinition-NutritionRecommendation.html ', old:'https://hl7.org/cda/stds/ccda/draft1/StructureDefinition- 2.16.840.1.113883.10.20.22.4.130 ' },</v>
      </c>
    </row>
    <row r="172" spans="2:8" x14ac:dyDescent="0.25">
      <c r="B172" t="s">
        <v>2316</v>
      </c>
      <c r="C172" s="2">
        <v>42217</v>
      </c>
      <c r="D172" t="s">
        <v>2526</v>
      </c>
      <c r="E172" t="s">
        <v>2752</v>
      </c>
      <c r="F172" t="str">
        <f t="shared" si="6"/>
        <v xml:space="preserve">https://hl7.org/cda/us/ccda/StructureDefinition-InterventionAct.html </v>
      </c>
      <c r="G172" t="str">
        <f t="shared" si="7"/>
        <v>https://hl7.org/cda/stds/ccda/draft1/StructureDefinition- 2.16.840.1.113883.10.20.22.4.131</v>
      </c>
      <c r="H172" t="str">
        <f t="shared" si="8"/>
        <v>{new:'https://hl7.org/cda/us/ccda/StructureDefinition-InterventionAct.html ', old:'https://hl7.org/cda/stds/ccda/draft1/StructureDefinition- 2.16.840.1.113883.10.20.22.4.131' },</v>
      </c>
    </row>
    <row r="173" spans="2:8" x14ac:dyDescent="0.25">
      <c r="B173" t="s">
        <v>2317</v>
      </c>
      <c r="C173" s="2">
        <v>44713</v>
      </c>
      <c r="D173" t="s">
        <v>2527</v>
      </c>
      <c r="E173" t="s">
        <v>2753</v>
      </c>
      <c r="F173" t="str">
        <f t="shared" si="6"/>
        <v xml:space="preserve">https://hl7.org/cda/us/ccda/StructureDefinition-HealthConcernAct.html </v>
      </c>
      <c r="G173" t="str">
        <f t="shared" si="7"/>
        <v>https://hl7.org/cda/stds/ccda/draft1/StructureDefinition- 2.16.840.1.113883.10.20.22.4.132</v>
      </c>
      <c r="H173" t="str">
        <f t="shared" si="8"/>
        <v>{new:'https://hl7.org/cda/us/ccda/StructureDefinition-HealthConcernAct.html ', old:'https://hl7.org/cda/stds/ccda/draft1/StructureDefinition- 2.16.840.1.113883.10.20.22.4.132' },</v>
      </c>
    </row>
    <row r="174" spans="2:8" x14ac:dyDescent="0.25">
      <c r="B174" t="s">
        <v>2194</v>
      </c>
      <c r="D174" t="s">
        <v>2528</v>
      </c>
      <c r="E174" t="s">
        <v>2754</v>
      </c>
      <c r="F174" t="str">
        <f t="shared" si="6"/>
        <v xml:space="preserve">https://hl7.org/cda/us/ccda/StructureDefinition-WoundMeasurementObservation.html </v>
      </c>
      <c r="G174" t="str">
        <f t="shared" si="7"/>
        <v xml:space="preserve">https://hl7.org/cda/stds/ccda/draft1/StructureDefinition- 2.16.840.1.113883.10.20.22.4.133 </v>
      </c>
      <c r="H174" t="str">
        <f t="shared" si="8"/>
        <v>{new:'https://hl7.org/cda/us/ccda/StructureDefinition-WoundMeasurementObservation.html ', old:'https://hl7.org/cda/stds/ccda/draft1/StructureDefinition- 2.16.840.1.113883.10.20.22.4.133 ' },</v>
      </c>
    </row>
    <row r="175" spans="2:8" x14ac:dyDescent="0.25">
      <c r="B175" t="s">
        <v>2195</v>
      </c>
      <c r="D175" t="s">
        <v>2529</v>
      </c>
      <c r="E175" t="s">
        <v>2755</v>
      </c>
      <c r="F175" t="str">
        <f t="shared" si="6"/>
        <v xml:space="preserve">https://hl7.org/cda/us/ccda/StructureDefinition-WoundCharacteristic.html </v>
      </c>
      <c r="G175" t="str">
        <f t="shared" si="7"/>
        <v xml:space="preserve">https://hl7.org/cda/stds/ccda/draft1/StructureDefinition- 2.16.840.1.113883.10.20.22.4.134 </v>
      </c>
      <c r="H175" t="str">
        <f t="shared" si="8"/>
        <v>{new:'https://hl7.org/cda/us/ccda/StructureDefinition-WoundCharacteristic.html ', old:'https://hl7.org/cda/stds/ccda/draft1/StructureDefinition- 2.16.840.1.113883.10.20.22.4.134 ' },</v>
      </c>
    </row>
    <row r="176" spans="2:8" x14ac:dyDescent="0.25">
      <c r="B176" t="s">
        <v>2196</v>
      </c>
      <c r="D176" t="s">
        <v>2530</v>
      </c>
      <c r="E176" t="s">
        <v>2756</v>
      </c>
      <c r="F176" t="str">
        <f t="shared" si="6"/>
        <v xml:space="preserve">https://hl7.org/cda/us/ccda/StructureDefinition-MedicalEquipmentOrganizer.html </v>
      </c>
      <c r="G176" t="str">
        <f t="shared" si="7"/>
        <v xml:space="preserve">https://hl7.org/cda/stds/ccda/draft1/StructureDefinition- 2.16.840.1.113883.10.20.22.4.135 </v>
      </c>
      <c r="H176" t="str">
        <f t="shared" si="8"/>
        <v>{new:'https://hl7.org/cda/us/ccda/StructureDefinition-MedicalEquipmentOrganizer.html ', old:'https://hl7.org/cda/stds/ccda/draft1/StructureDefinition- 2.16.840.1.113883.10.20.22.4.135 ' },</v>
      </c>
    </row>
    <row r="177" spans="2:8" x14ac:dyDescent="0.25">
      <c r="B177" t="s">
        <v>2318</v>
      </c>
      <c r="C177" s="2">
        <v>42217</v>
      </c>
      <c r="D177" t="s">
        <v>2531</v>
      </c>
      <c r="E177" t="s">
        <v>2757</v>
      </c>
      <c r="F177" t="str">
        <f t="shared" si="6"/>
        <v xml:space="preserve">https://hl7.org/cda/us/ccda/StructureDefinition-RiskConcernAct.html </v>
      </c>
      <c r="G177" t="str">
        <f t="shared" si="7"/>
        <v>https://hl7.org/cda/stds/ccda/draft1/StructureDefinition- 2.16.840.1.113883.10.20.22.4.136</v>
      </c>
      <c r="H177" t="str">
        <f t="shared" si="8"/>
        <v>{new:'https://hl7.org/cda/us/ccda/StructureDefinition-RiskConcernAct.html ', old:'https://hl7.org/cda/stds/ccda/draft1/StructureDefinition- 2.16.840.1.113883.10.20.22.4.136' },</v>
      </c>
    </row>
    <row r="178" spans="2:8" x14ac:dyDescent="0.25">
      <c r="B178" t="s">
        <v>2197</v>
      </c>
      <c r="D178" t="s">
        <v>2532</v>
      </c>
      <c r="E178" t="s">
        <v>2758</v>
      </c>
      <c r="F178" t="str">
        <f t="shared" si="6"/>
        <v xml:space="preserve">https://hl7.org/cda/us/ccda/StructureDefinition-NutritionAssessment.html </v>
      </c>
      <c r="G178" t="str">
        <f t="shared" si="7"/>
        <v xml:space="preserve">https://hl7.org/cda/stds/ccda/draft1/StructureDefinition- 2.16.840.1.113883.10.20.22.4.138 </v>
      </c>
      <c r="H178" t="str">
        <f t="shared" si="8"/>
        <v>{new:'https://hl7.org/cda/us/ccda/StructureDefinition-NutritionAssessment.html ', old:'https://hl7.org/cda/stds/ccda/draft1/StructureDefinition- 2.16.840.1.113883.10.20.22.4.138 ' },</v>
      </c>
    </row>
    <row r="179" spans="2:8" x14ac:dyDescent="0.25">
      <c r="B179" t="s">
        <v>2198</v>
      </c>
      <c r="D179" t="s">
        <v>2533</v>
      </c>
      <c r="E179" t="s">
        <v>2759</v>
      </c>
      <c r="F179" t="str">
        <f t="shared" si="6"/>
        <v xml:space="preserve">https://hl7.org/cda/us/ccda/StructureDefinition-ReferralAct.html </v>
      </c>
      <c r="G179" t="str">
        <f t="shared" si="7"/>
        <v xml:space="preserve">https://hl7.org/cda/stds/ccda/draft1/StructureDefinition- 2.16.840.1.113883.10.20.22.4.140 </v>
      </c>
      <c r="H179" t="str">
        <f t="shared" si="8"/>
        <v>{new:'https://hl7.org/cda/us/ccda/StructureDefinition-ReferralAct.html ', old:'https://hl7.org/cda/stds/ccda/draft1/StructureDefinition- 2.16.840.1.113883.10.20.22.4.140 ' },</v>
      </c>
    </row>
    <row r="180" spans="2:8" x14ac:dyDescent="0.25">
      <c r="B180" t="s">
        <v>2199</v>
      </c>
      <c r="D180" t="s">
        <v>2534</v>
      </c>
      <c r="E180" t="s">
        <v>2760</v>
      </c>
      <c r="F180" t="str">
        <f t="shared" si="6"/>
        <v xml:space="preserve">https://hl7.org/cda/us/ccda/StructureDefinition-HandoffCommunicationParticipants.html </v>
      </c>
      <c r="G180" t="str">
        <f t="shared" si="7"/>
        <v xml:space="preserve">https://hl7.org/cda/stds/ccda/draft1/StructureDefinition- 2.16.840.1.113883.10.20.22.4.141 </v>
      </c>
      <c r="H180" t="str">
        <f t="shared" si="8"/>
        <v>{new:'https://hl7.org/cda/us/ccda/StructureDefinition-HandoffCommunicationParticipants.html ', old:'https://hl7.org/cda/stds/ccda/draft1/StructureDefinition- 2.16.840.1.113883.10.20.22.4.141 ' },</v>
      </c>
    </row>
    <row r="181" spans="2:8" x14ac:dyDescent="0.25">
      <c r="B181" t="s">
        <v>2200</v>
      </c>
      <c r="D181" t="s">
        <v>2535</v>
      </c>
      <c r="E181" t="s">
        <v>2761</v>
      </c>
      <c r="F181" t="str">
        <f t="shared" si="6"/>
        <v xml:space="preserve">https://hl7.org/cda/us/ccda/StructureDefinition-PriorityPreference.html </v>
      </c>
      <c r="G181" t="str">
        <f t="shared" si="7"/>
        <v xml:space="preserve">https://hl7.org/cda/stds/ccda/draft1/StructureDefinition- 2.16.840.1.113883.10.20.22.4.143 </v>
      </c>
      <c r="H181" t="str">
        <f t="shared" si="8"/>
        <v>{new:'https://hl7.org/cda/us/ccda/StructureDefinition-PriorityPreference.html ', old:'https://hl7.org/cda/stds/ccda/draft1/StructureDefinition- 2.16.840.1.113883.10.20.22.4.143 ' },</v>
      </c>
    </row>
    <row r="182" spans="2:8" x14ac:dyDescent="0.25">
      <c r="B182" t="s">
        <v>2201</v>
      </c>
      <c r="D182" t="s">
        <v>2536</v>
      </c>
      <c r="E182" t="s">
        <v>2762</v>
      </c>
      <c r="F182" t="str">
        <f t="shared" si="6"/>
        <v xml:space="preserve">https://hl7.org/cda/us/ccda/StructureDefinition-OutcomeObservation.html </v>
      </c>
      <c r="G182" t="str">
        <f t="shared" si="7"/>
        <v xml:space="preserve">https://hl7.org/cda/stds/ccda/draft1/StructureDefinition- 2.16.840.1.113883.10.20.22.4.144 </v>
      </c>
      <c r="H182" t="str">
        <f t="shared" si="8"/>
        <v>{new:'https://hl7.org/cda/us/ccda/StructureDefinition-OutcomeObservation.html ', old:'https://hl7.org/cda/stds/ccda/draft1/StructureDefinition- 2.16.840.1.113883.10.20.22.4.144 ' },</v>
      </c>
    </row>
    <row r="183" spans="2:8" x14ac:dyDescent="0.25">
      <c r="B183" t="s">
        <v>2202</v>
      </c>
      <c r="D183" t="s">
        <v>2537</v>
      </c>
      <c r="E183" t="s">
        <v>2763</v>
      </c>
      <c r="F183" t="str">
        <f t="shared" si="6"/>
        <v xml:space="preserve">https://hl7.org/cda/us/ccda/StructureDefinition-CriticalityObservation.html </v>
      </c>
      <c r="G183" t="str">
        <f t="shared" si="7"/>
        <v xml:space="preserve">https://hl7.org/cda/stds/ccda/draft1/StructureDefinition- 2.16.840.1.113883.10.20.22.4.145 </v>
      </c>
      <c r="H183" t="str">
        <f t="shared" si="8"/>
        <v>{new:'https://hl7.org/cda/us/ccda/StructureDefinition-CriticalityObservation.html ', old:'https://hl7.org/cda/stds/ccda/draft1/StructureDefinition- 2.16.840.1.113883.10.20.22.4.145 ' },</v>
      </c>
    </row>
    <row r="184" spans="2:8" x14ac:dyDescent="0.25">
      <c r="B184" t="s">
        <v>2319</v>
      </c>
      <c r="C184" s="2">
        <v>42217</v>
      </c>
      <c r="D184" t="s">
        <v>2538</v>
      </c>
      <c r="E184" t="s">
        <v>2764</v>
      </c>
      <c r="F184" t="str">
        <f t="shared" si="6"/>
        <v xml:space="preserve">https://hl7.org/cda/us/ccda/StructureDefinition-PlannedInterventionAct.html </v>
      </c>
      <c r="G184" t="str">
        <f t="shared" si="7"/>
        <v>https://hl7.org/cda/stds/ccda/draft1/StructureDefinition- 2.16.840.1.113883.10.20.22.4.146</v>
      </c>
      <c r="H184" t="str">
        <f t="shared" si="8"/>
        <v>{new:'https://hl7.org/cda/us/ccda/StructureDefinition-PlannedInterventionAct.html ', old:'https://hl7.org/cda/stds/ccda/draft1/StructureDefinition- 2.16.840.1.113883.10.20.22.4.146' },</v>
      </c>
    </row>
    <row r="185" spans="2:8" x14ac:dyDescent="0.25">
      <c r="B185" t="s">
        <v>2203</v>
      </c>
      <c r="D185" t="s">
        <v>2539</v>
      </c>
      <c r="E185" t="s">
        <v>2765</v>
      </c>
      <c r="F185" t="str">
        <f t="shared" si="6"/>
        <v xml:space="preserve">https://hl7.org/cda/us/ccda/StructureDefinition-MedicationFreeTextSig.html </v>
      </c>
      <c r="G185" t="str">
        <f t="shared" si="7"/>
        <v xml:space="preserve">https://hl7.org/cda/stds/ccda/draft1/StructureDefinition- 2.16.840.1.113883.10.20.22.4.147 </v>
      </c>
      <c r="H185" t="str">
        <f t="shared" si="8"/>
        <v>{new:'https://hl7.org/cda/us/ccda/StructureDefinition-MedicationFreeTextSig.html ', old:'https://hl7.org/cda/stds/ccda/draft1/StructureDefinition- 2.16.840.1.113883.10.20.22.4.147 ' },</v>
      </c>
    </row>
    <row r="186" spans="2:8" x14ac:dyDescent="0.25">
      <c r="B186" t="s">
        <v>2320</v>
      </c>
      <c r="C186" s="2">
        <v>45413</v>
      </c>
      <c r="D186" t="s">
        <v>2540</v>
      </c>
      <c r="E186" t="s">
        <v>2766</v>
      </c>
      <c r="F186" t="str">
        <f t="shared" si="6"/>
        <v xml:space="preserve">https://hl7.org/cda/us/ccda/StructureDefinition-BirthSexObservation.html </v>
      </c>
      <c r="G186" t="str">
        <f t="shared" si="7"/>
        <v>https://hl7.org/cda/stds/ccda/draft1/StructureDefinition- 2.16.840.1.113883.10.20.22.4.200</v>
      </c>
      <c r="H186" t="str">
        <f t="shared" si="8"/>
        <v>{new:'https://hl7.org/cda/us/ccda/StructureDefinition-BirthSexObservation.html ', old:'https://hl7.org/cda/stds/ccda/draft1/StructureDefinition- 2.16.840.1.113883.10.20.22.4.200' },</v>
      </c>
    </row>
    <row r="187" spans="2:8" x14ac:dyDescent="0.25">
      <c r="B187" t="s">
        <v>2321</v>
      </c>
      <c r="C187" s="2">
        <v>42522</v>
      </c>
      <c r="D187" t="s">
        <v>2541</v>
      </c>
      <c r="E187" t="s">
        <v>2767</v>
      </c>
      <c r="F187" t="str">
        <f t="shared" si="6"/>
        <v xml:space="preserve">https://hl7.org/cda/us/ccda/StructureDefinition-SectionTimeRangeObservation.html </v>
      </c>
      <c r="G187" t="str">
        <f t="shared" si="7"/>
        <v>https://hl7.org/cda/stds/ccda/draft1/StructureDefinition- 2.16.840.1.113883.10.20.22.4.201</v>
      </c>
      <c r="H187" t="str">
        <f t="shared" si="8"/>
        <v>{new:'https://hl7.org/cda/us/ccda/StructureDefinition-SectionTimeRangeObservation.html ', old:'https://hl7.org/cda/stds/ccda/draft1/StructureDefinition- 2.16.840.1.113883.10.20.22.4.201' },</v>
      </c>
    </row>
    <row r="188" spans="2:8" x14ac:dyDescent="0.25">
      <c r="B188" t="s">
        <v>2322</v>
      </c>
      <c r="C188" s="2">
        <v>46143</v>
      </c>
      <c r="D188" t="s">
        <v>2542</v>
      </c>
      <c r="E188" t="s">
        <v>2768</v>
      </c>
      <c r="F188" t="str">
        <f t="shared" si="6"/>
        <v xml:space="preserve">https://hl7.org/cda/us/ccda/StructureDefinition-NoteActivity.html </v>
      </c>
      <c r="G188" t="str">
        <f t="shared" si="7"/>
        <v>https://hl7.org/cda/stds/ccda/draft1/StructureDefinition- 2.16.840.1.113883.10.20.22.4.202</v>
      </c>
      <c r="H188" t="str">
        <f t="shared" si="8"/>
        <v>{new:'https://hl7.org/cda/us/ccda/StructureDefinition-NoteActivity.html ', old:'https://hl7.org/cda/stds/ccda/draft1/StructureDefinition- 2.16.840.1.113883.10.20.22.4.202' },</v>
      </c>
    </row>
    <row r="189" spans="2:8" x14ac:dyDescent="0.25">
      <c r="B189" t="s">
        <v>2323</v>
      </c>
      <c r="C189" s="2">
        <v>45047</v>
      </c>
      <c r="D189" t="s">
        <v>2543</v>
      </c>
      <c r="E189" t="s">
        <v>2769</v>
      </c>
      <c r="F189" t="str">
        <f t="shared" si="6"/>
        <v xml:space="preserve">https://hl7.org/cda/us/ccda/StructureDefinition-PregnancyIntentionInNextYear.html </v>
      </c>
      <c r="G189" t="str">
        <f t="shared" si="7"/>
        <v>https://hl7.org/cda/stds/ccda/draft1/StructureDefinition- 2.16.840.1.113883.10.20.22.4.281</v>
      </c>
      <c r="H189" t="str">
        <f t="shared" si="8"/>
        <v>{new:'https://hl7.org/cda/us/ccda/StructureDefinition-PregnancyIntentionInNextYear.html ', old:'https://hl7.org/cda/stds/ccda/draft1/StructureDefinition- 2.16.840.1.113883.10.20.22.4.281' },</v>
      </c>
    </row>
    <row r="190" spans="2:8" x14ac:dyDescent="0.25">
      <c r="B190" t="s">
        <v>2324</v>
      </c>
      <c r="C190" s="2">
        <v>43637</v>
      </c>
      <c r="D190" t="s">
        <v>2544</v>
      </c>
      <c r="E190" t="s">
        <v>2770</v>
      </c>
      <c r="F190" t="str">
        <f t="shared" si="6"/>
        <v xml:space="preserve">https://hl7.org/cda/us/ccda/StructureDefinition-BrandNameObservation.html </v>
      </c>
      <c r="G190" t="str">
        <f t="shared" si="7"/>
        <v>https://hl7.org/cda/stds/ccda/draft1/StructureDefinition- 2.16.840.1.113883.10.20.22.4.301</v>
      </c>
      <c r="H190" t="str">
        <f t="shared" si="8"/>
        <v>{new:'https://hl7.org/cda/us/ccda/StructureDefinition-BrandNameObservation.html ', old:'https://hl7.org/cda/stds/ccda/draft1/StructureDefinition- 2.16.840.1.113883.10.20.22.4.301' },</v>
      </c>
    </row>
    <row r="191" spans="2:8" x14ac:dyDescent="0.25">
      <c r="B191" t="s">
        <v>2325</v>
      </c>
      <c r="C191" s="2">
        <v>43637</v>
      </c>
      <c r="D191" t="s">
        <v>2545</v>
      </c>
      <c r="E191" t="s">
        <v>2771</v>
      </c>
      <c r="F191" t="str">
        <f t="shared" si="6"/>
        <v xml:space="preserve">https://hl7.org/cda/us/ccda/StructureDefinition-CatalogNumberObservation.html </v>
      </c>
      <c r="G191" t="str">
        <f t="shared" si="7"/>
        <v>https://hl7.org/cda/stds/ccda/draft1/StructureDefinition- 2.16.840.1.113883.10.20.22.4.302</v>
      </c>
      <c r="H191" t="str">
        <f t="shared" si="8"/>
        <v>{new:'https://hl7.org/cda/us/ccda/StructureDefinition-CatalogNumberObservation.html ', old:'https://hl7.org/cda/stds/ccda/draft1/StructureDefinition- 2.16.840.1.113883.10.20.22.4.302' },</v>
      </c>
    </row>
    <row r="192" spans="2:8" x14ac:dyDescent="0.25">
      <c r="B192" t="s">
        <v>2326</v>
      </c>
      <c r="C192" s="2">
        <v>43637</v>
      </c>
      <c r="D192" t="s">
        <v>2546</v>
      </c>
      <c r="E192" t="s">
        <v>2772</v>
      </c>
      <c r="F192" t="str">
        <f t="shared" ref="F192:F249" si="9">"https://hl7.org/cda/us/ccda/"&amp;E192</f>
        <v xml:space="preserve">https://hl7.org/cda/us/ccda/StructureDefinition-CompanyNameObservation.html </v>
      </c>
      <c r="G192" t="str">
        <f t="shared" ref="G192:G249" si="10">"https://hl7.org/cda/stds/ccda/draft1/StructureDefinition-"&amp;B192</f>
        <v>https://hl7.org/cda/stds/ccda/draft1/StructureDefinition- 2.16.840.1.113883.10.20.22.4.303</v>
      </c>
      <c r="H192" t="str">
        <f t="shared" si="8"/>
        <v>{new:'https://hl7.org/cda/us/ccda/StructureDefinition-CompanyNameObservation.html ', old:'https://hl7.org/cda/stds/ccda/draft1/StructureDefinition- 2.16.840.1.113883.10.20.22.4.303' },</v>
      </c>
    </row>
    <row r="193" spans="2:8" x14ac:dyDescent="0.25">
      <c r="B193" t="s">
        <v>2327</v>
      </c>
      <c r="C193" s="2">
        <v>44713</v>
      </c>
      <c r="D193" t="s">
        <v>2547</v>
      </c>
      <c r="E193" t="s">
        <v>2773</v>
      </c>
      <c r="F193" t="str">
        <f t="shared" si="9"/>
        <v xml:space="preserve">https://hl7.org/cda/us/ccda/StructureDefinition-DeviceIdentifierObservation.html </v>
      </c>
      <c r="G193" t="str">
        <f t="shared" si="10"/>
        <v>https://hl7.org/cda/stds/ccda/draft1/StructureDefinition- 2.16.840.1.113883.10.20.22.4.304</v>
      </c>
      <c r="H193" t="str">
        <f t="shared" si="8"/>
        <v>{new:'https://hl7.org/cda/us/ccda/StructureDefinition-DeviceIdentifierObservation.html ', old:'https://hl7.org/cda/stds/ccda/draft1/StructureDefinition- 2.16.840.1.113883.10.20.22.4.304' },</v>
      </c>
    </row>
    <row r="194" spans="2:8" x14ac:dyDescent="0.25">
      <c r="B194" t="s">
        <v>2328</v>
      </c>
      <c r="C194" s="2">
        <v>43637</v>
      </c>
      <c r="D194" t="s">
        <v>2548</v>
      </c>
      <c r="E194" t="s">
        <v>2774</v>
      </c>
      <c r="F194" t="str">
        <f t="shared" si="9"/>
        <v xml:space="preserve">https://hl7.org/cda/us/ccda/StructureDefinition-ImplantableDeviceStatusObservation.html </v>
      </c>
      <c r="G194" t="str">
        <f t="shared" si="10"/>
        <v>https://hl7.org/cda/stds/ccda/draft1/StructureDefinition- 2.16.840.1.113883.10.20.22.4.305</v>
      </c>
      <c r="H194" t="str">
        <f t="shared" si="8"/>
        <v>{new:'https://hl7.org/cda/us/ccda/StructureDefinition-ImplantableDeviceStatusObservation.html ', old:'https://hl7.org/cda/stds/ccda/draft1/StructureDefinition- 2.16.840.1.113883.10.20.22.4.305' },</v>
      </c>
    </row>
    <row r="195" spans="2:8" x14ac:dyDescent="0.25">
      <c r="B195" t="s">
        <v>2329</v>
      </c>
      <c r="C195" s="2">
        <v>43637</v>
      </c>
      <c r="D195" t="s">
        <v>2549</v>
      </c>
      <c r="E195" t="s">
        <v>2775</v>
      </c>
      <c r="F195" t="str">
        <f t="shared" si="9"/>
        <v xml:space="preserve">https://hl7.org/cda/us/ccda/StructureDefinition-DistinctIdentificationCodeObservation.html </v>
      </c>
      <c r="G195" t="str">
        <f t="shared" si="10"/>
        <v>https://hl7.org/cda/stds/ccda/draft1/StructureDefinition- 2.16.840.1.113883.10.20.22.4.308</v>
      </c>
      <c r="H195" t="str">
        <f t="shared" si="8"/>
        <v>{new:'https://hl7.org/cda/us/ccda/StructureDefinition-DistinctIdentificationCodeObservation.html ', old:'https://hl7.org/cda/stds/ccda/draft1/StructureDefinition- 2.16.840.1.113883.10.20.22.4.308' },</v>
      </c>
    </row>
    <row r="196" spans="2:8" x14ac:dyDescent="0.25">
      <c r="B196" t="s">
        <v>2330</v>
      </c>
      <c r="C196" s="2">
        <v>43637</v>
      </c>
      <c r="D196" t="s">
        <v>2550</v>
      </c>
      <c r="E196" t="s">
        <v>2776</v>
      </c>
      <c r="F196" t="str">
        <f t="shared" si="9"/>
        <v xml:space="preserve">https://hl7.org/cda/us/ccda/StructureDefinition-ExpirationDateObservation.html </v>
      </c>
      <c r="G196" t="str">
        <f t="shared" si="10"/>
        <v>https://hl7.org/cda/stds/ccda/draft1/StructureDefinition- 2.16.840.1.113883.10.20.22.4.309</v>
      </c>
      <c r="H196" t="str">
        <f t="shared" si="8"/>
        <v>{new:'https://hl7.org/cda/us/ccda/StructureDefinition-ExpirationDateObservation.html ', old:'https://hl7.org/cda/stds/ccda/draft1/StructureDefinition- 2.16.840.1.113883.10.20.22.4.309' },</v>
      </c>
    </row>
    <row r="197" spans="2:8" x14ac:dyDescent="0.25">
      <c r="B197" t="s">
        <v>2331</v>
      </c>
      <c r="C197" s="2">
        <v>43637</v>
      </c>
      <c r="D197" t="s">
        <v>2551</v>
      </c>
      <c r="E197" t="s">
        <v>2777</v>
      </c>
      <c r="F197" t="str">
        <f t="shared" si="9"/>
        <v xml:space="preserve">https://hl7.org/cda/us/ccda/StructureDefinition-UDIOrganizer.html </v>
      </c>
      <c r="G197" t="str">
        <f t="shared" si="10"/>
        <v>https://hl7.org/cda/stds/ccda/draft1/StructureDefinition- 2.16.840.1.113883.10.20.22.4.311</v>
      </c>
      <c r="H197" t="str">
        <f t="shared" si="8"/>
        <v>{new:'https://hl7.org/cda/us/ccda/StructureDefinition-UDIOrganizer.html ', old:'https://hl7.org/cda/stds/ccda/draft1/StructureDefinition- 2.16.840.1.113883.10.20.22.4.311' },</v>
      </c>
    </row>
    <row r="198" spans="2:8" x14ac:dyDescent="0.25">
      <c r="B198" t="s">
        <v>2332</v>
      </c>
      <c r="C198" s="2">
        <v>43637</v>
      </c>
      <c r="D198" t="s">
        <v>2552</v>
      </c>
      <c r="E198" t="s">
        <v>2778</v>
      </c>
      <c r="F198" t="str">
        <f t="shared" si="9"/>
        <v xml:space="preserve">https://hl7.org/cda/us/ccda/StructureDefinition-LatexSafetyObservation.html </v>
      </c>
      <c r="G198" t="str">
        <f t="shared" si="10"/>
        <v>https://hl7.org/cda/stds/ccda/draft1/StructureDefinition- 2.16.840.1.113883.10.20.22.4.314</v>
      </c>
      <c r="H198" t="str">
        <f t="shared" ref="H198:H249" si="11">"{new:'"&amp;F198&amp;"', old:'"&amp;G198&amp;"' },"</f>
        <v>{new:'https://hl7.org/cda/us/ccda/StructureDefinition-LatexSafetyObservation.html ', old:'https://hl7.org/cda/stds/ccda/draft1/StructureDefinition- 2.16.840.1.113883.10.20.22.4.314' },</v>
      </c>
    </row>
    <row r="199" spans="2:8" x14ac:dyDescent="0.25">
      <c r="B199" t="s">
        <v>2333</v>
      </c>
      <c r="C199" s="2">
        <v>43637</v>
      </c>
      <c r="D199" t="s">
        <v>2553</v>
      </c>
      <c r="E199" t="s">
        <v>2779</v>
      </c>
      <c r="F199" t="str">
        <f t="shared" si="9"/>
        <v xml:space="preserve">https://hl7.org/cda/us/ccda/StructureDefinition-LotOrBatchNumberObservation.html </v>
      </c>
      <c r="G199" t="str">
        <f t="shared" si="10"/>
        <v>https://hl7.org/cda/stds/ccda/draft1/StructureDefinition- 2.16.840.1.113883.10.20.22.4.315</v>
      </c>
      <c r="H199" t="str">
        <f t="shared" si="11"/>
        <v>{new:'https://hl7.org/cda/us/ccda/StructureDefinition-LotOrBatchNumberObservation.html ', old:'https://hl7.org/cda/stds/ccda/draft1/StructureDefinition- 2.16.840.1.113883.10.20.22.4.315' },</v>
      </c>
    </row>
    <row r="200" spans="2:8" x14ac:dyDescent="0.25">
      <c r="B200" t="s">
        <v>2334</v>
      </c>
      <c r="C200" s="2">
        <v>43637</v>
      </c>
      <c r="D200" t="s">
        <v>2554</v>
      </c>
      <c r="E200" t="s">
        <v>2780</v>
      </c>
      <c r="F200" t="str">
        <f t="shared" si="9"/>
        <v xml:space="preserve">https://hl7.org/cda/us/ccda/StructureDefinition-ManufacturingDateObservation.html </v>
      </c>
      <c r="G200" t="str">
        <f t="shared" si="10"/>
        <v>https://hl7.org/cda/stds/ccda/draft1/StructureDefinition- 2.16.840.1.113883.10.20.22.4.316</v>
      </c>
      <c r="H200" t="str">
        <f t="shared" si="11"/>
        <v>{new:'https://hl7.org/cda/us/ccda/StructureDefinition-ManufacturingDateObservation.html ', old:'https://hl7.org/cda/stds/ccda/draft1/StructureDefinition- 2.16.840.1.113883.10.20.22.4.316' },</v>
      </c>
    </row>
    <row r="201" spans="2:8" x14ac:dyDescent="0.25">
      <c r="B201" t="s">
        <v>2335</v>
      </c>
      <c r="C201" s="2">
        <v>43637</v>
      </c>
      <c r="D201" t="s">
        <v>2555</v>
      </c>
      <c r="E201" t="s">
        <v>2781</v>
      </c>
      <c r="F201" t="str">
        <f t="shared" si="9"/>
        <v xml:space="preserve">https://hl7.org/cda/us/ccda/StructureDefinition-ModelNumberObservation.html </v>
      </c>
      <c r="G201" t="str">
        <f t="shared" si="10"/>
        <v>https://hl7.org/cda/stds/ccda/draft1/StructureDefinition- 2.16.840.1.113883.10.20.22.4.317</v>
      </c>
      <c r="H201" t="str">
        <f t="shared" si="11"/>
        <v>{new:'https://hl7.org/cda/us/ccda/StructureDefinition-ModelNumberObservation.html ', old:'https://hl7.org/cda/stds/ccda/draft1/StructureDefinition- 2.16.840.1.113883.10.20.22.4.317' },</v>
      </c>
    </row>
    <row r="202" spans="2:8" x14ac:dyDescent="0.25">
      <c r="B202" t="s">
        <v>2336</v>
      </c>
      <c r="C202" s="2">
        <v>43637</v>
      </c>
      <c r="D202" t="s">
        <v>2556</v>
      </c>
      <c r="E202" t="s">
        <v>2782</v>
      </c>
      <c r="F202" t="str">
        <f t="shared" si="9"/>
        <v xml:space="preserve">https://hl7.org/cda/us/ccda/StructureDefinition-MRISafetyObservation.html </v>
      </c>
      <c r="G202" t="str">
        <f t="shared" si="10"/>
        <v>https://hl7.org/cda/stds/ccda/draft1/StructureDefinition- 2.16.840.1.113883.10.20.22.4.318</v>
      </c>
      <c r="H202" t="str">
        <f t="shared" si="11"/>
        <v>{new:'https://hl7.org/cda/us/ccda/StructureDefinition-MRISafetyObservation.html ', old:'https://hl7.org/cda/stds/ccda/draft1/StructureDefinition- 2.16.840.1.113883.10.20.22.4.318' },</v>
      </c>
    </row>
    <row r="203" spans="2:8" x14ac:dyDescent="0.25">
      <c r="B203" t="s">
        <v>2337</v>
      </c>
      <c r="C203" s="2">
        <v>43637</v>
      </c>
      <c r="D203" t="s">
        <v>2557</v>
      </c>
      <c r="E203" t="s">
        <v>2783</v>
      </c>
      <c r="F203" t="str">
        <f t="shared" si="9"/>
        <v xml:space="preserve">https://hl7.org/cda/us/ccda/StructureDefinition-SerialNumberObservation.html </v>
      </c>
      <c r="G203" t="str">
        <f t="shared" si="10"/>
        <v>https://hl7.org/cda/stds/ccda/draft1/StructureDefinition- 2.16.840.1.113883.10.20.22.4.319</v>
      </c>
      <c r="H203" t="str">
        <f t="shared" si="11"/>
        <v>{new:'https://hl7.org/cda/us/ccda/StructureDefinition-SerialNumberObservation.html ', old:'https://hl7.org/cda/stds/ccda/draft1/StructureDefinition- 2.16.840.1.113883.10.20.22.4.319' },</v>
      </c>
    </row>
    <row r="204" spans="2:8" x14ac:dyDescent="0.25">
      <c r="B204" t="s">
        <v>2338</v>
      </c>
      <c r="C204" s="2">
        <v>43344</v>
      </c>
      <c r="D204" t="s">
        <v>2558</v>
      </c>
      <c r="E204" t="s">
        <v>2784</v>
      </c>
      <c r="F204" t="str">
        <f t="shared" si="9"/>
        <v xml:space="preserve">https://hl7.org/cda/us/ccda/StructureDefinition-SpecimenCollectionProcedure.html </v>
      </c>
      <c r="G204" t="str">
        <f t="shared" si="10"/>
        <v>https://hl7.org/cda/stds/ccda/draft1/StructureDefinition- 2.16.840.1.113883.10.20.22.4.415</v>
      </c>
      <c r="H204" t="str">
        <f t="shared" si="11"/>
        <v>{new:'https://hl7.org/cda/us/ccda/StructureDefinition-SpecimenCollectionProcedure.html ', old:'https://hl7.org/cda/stds/ccda/draft1/StructureDefinition- 2.16.840.1.113883.10.20.22.4.415' },</v>
      </c>
    </row>
    <row r="205" spans="2:8" x14ac:dyDescent="0.25">
      <c r="B205" t="s">
        <v>2339</v>
      </c>
      <c r="C205" s="2">
        <v>43263</v>
      </c>
      <c r="D205" t="s">
        <v>2559</v>
      </c>
      <c r="E205" t="s">
        <v>2785</v>
      </c>
      <c r="F205" t="str">
        <f t="shared" si="9"/>
        <v xml:space="preserve">https://hl7.org/cda/us/ccda/StructureDefinition-SpecimenConditionObservation.html </v>
      </c>
      <c r="G205" t="str">
        <f t="shared" si="10"/>
        <v>https://hl7.org/cda/stds/ccda/draft1/StructureDefinition- 2.16.840.1.113883.10.20.22.4.421</v>
      </c>
      <c r="H205" t="str">
        <f t="shared" si="11"/>
        <v>{new:'https://hl7.org/cda/us/ccda/StructureDefinition-SpecimenConditionObservation.html ', old:'https://hl7.org/cda/stds/ccda/draft1/StructureDefinition- 2.16.840.1.113883.10.20.22.4.421' },</v>
      </c>
    </row>
    <row r="206" spans="2:8" x14ac:dyDescent="0.25">
      <c r="B206" t="s">
        <v>2340</v>
      </c>
      <c r="C206" s="2">
        <v>44713</v>
      </c>
      <c r="D206" t="s">
        <v>2560</v>
      </c>
      <c r="E206" t="s">
        <v>2786</v>
      </c>
      <c r="F206" t="str">
        <f t="shared" si="9"/>
        <v xml:space="preserve">https://hl7.org/cda/us/ccda/StructureDefinition-CareTeamOrganizer.html </v>
      </c>
      <c r="G206" t="str">
        <f t="shared" si="10"/>
        <v>https://hl7.org/cda/stds/ccda/draft1/StructureDefinition- 2.16.840.1.113883.10.20.22.4.500</v>
      </c>
      <c r="H206" t="str">
        <f t="shared" si="11"/>
        <v>{new:'https://hl7.org/cda/us/ccda/StructureDefinition-CareTeamOrganizer.html ', old:'https://hl7.org/cda/stds/ccda/draft1/StructureDefinition- 2.16.840.1.113883.10.20.22.4.500' },</v>
      </c>
    </row>
    <row r="207" spans="2:8" x14ac:dyDescent="0.25">
      <c r="B207" t="s">
        <v>2341</v>
      </c>
      <c r="C207" s="2">
        <v>45413</v>
      </c>
      <c r="D207" t="s">
        <v>2561</v>
      </c>
      <c r="E207" t="s">
        <v>2787</v>
      </c>
      <c r="F207" t="str">
        <f t="shared" si="9"/>
        <v xml:space="preserve">https://hl7.org/cda/us/ccda/StructureDefinition-CareTeamMemberAct.html </v>
      </c>
      <c r="G207" t="str">
        <f t="shared" si="10"/>
        <v>https://hl7.org/cda/stds/ccda/draft1/StructureDefinition- 2.16.840.1.113883.10.20.22.4.500.1</v>
      </c>
      <c r="H207" t="str">
        <f t="shared" si="11"/>
        <v>{new:'https://hl7.org/cda/us/ccda/StructureDefinition-CareTeamMemberAct.html ', old:'https://hl7.org/cda/stds/ccda/draft1/StructureDefinition- 2.16.840.1.113883.10.20.22.4.500.1' },</v>
      </c>
    </row>
    <row r="208" spans="2:8" x14ac:dyDescent="0.25">
      <c r="B208" t="s">
        <v>2342</v>
      </c>
      <c r="C208" s="2">
        <v>43647</v>
      </c>
      <c r="D208" t="s">
        <v>2562</v>
      </c>
      <c r="E208" t="s">
        <v>2788</v>
      </c>
      <c r="F208" t="str">
        <f t="shared" si="9"/>
        <v xml:space="preserve">https://hl7.org/cda/us/ccda/StructureDefinition-CareTeamTypeObservation.html </v>
      </c>
      <c r="G208" t="str">
        <f t="shared" si="10"/>
        <v>https://hl7.org/cda/stds/ccda/draft1/StructureDefinition- 2.16.840.1.113883.10.20.22.4.500.2</v>
      </c>
      <c r="H208" t="str">
        <f t="shared" si="11"/>
        <v>{new:'https://hl7.org/cda/us/ccda/StructureDefinition-CareTeamTypeObservation.html ', old:'https://hl7.org/cda/stds/ccda/draft1/StructureDefinition- 2.16.840.1.113883.10.20.22.4.500.2' },</v>
      </c>
    </row>
    <row r="209" spans="2:8" x14ac:dyDescent="0.25">
      <c r="B209" t="s">
        <v>2343</v>
      </c>
      <c r="C209" s="2">
        <v>44713</v>
      </c>
      <c r="D209" t="s">
        <v>2563</v>
      </c>
      <c r="E209" t="s">
        <v>2789</v>
      </c>
      <c r="F209" t="str">
        <f t="shared" si="9"/>
        <v xml:space="preserve">https://hl7.org/cda/us/ccda/StructureDefinition-CareTeamMemberScheduleObservation.html </v>
      </c>
      <c r="G209" t="str">
        <f t="shared" si="10"/>
        <v>https://hl7.org/cda/stds/ccda/draft1/StructureDefinition- 2.16.840.1.113883.10.20.22.4.500.3</v>
      </c>
      <c r="H209" t="str">
        <f t="shared" si="11"/>
        <v>{new:'https://hl7.org/cda/us/ccda/StructureDefinition-CareTeamMemberScheduleObservation.html ', old:'https://hl7.org/cda/stds/ccda/draft1/StructureDefinition- 2.16.840.1.113883.10.20.22.4.500.3' },</v>
      </c>
    </row>
    <row r="210" spans="2:8" x14ac:dyDescent="0.25">
      <c r="B210" t="s">
        <v>2344</v>
      </c>
      <c r="C210" s="2">
        <v>45047</v>
      </c>
      <c r="D210" t="s">
        <v>2564</v>
      </c>
      <c r="E210" t="s">
        <v>2790</v>
      </c>
      <c r="F210" t="str">
        <f t="shared" si="9"/>
        <v xml:space="preserve">https://hl7.org/cda/us/ccda/StructureDefinition-SexualOrientationObservation.html </v>
      </c>
      <c r="G210" t="str">
        <f t="shared" si="10"/>
        <v>https://hl7.org/cda/stds/ccda/draft1/StructureDefinition- 2.16.840.1.113883.10.20.22.4.501</v>
      </c>
      <c r="H210" t="str">
        <f t="shared" si="11"/>
        <v>{new:'https://hl7.org/cda/us/ccda/StructureDefinition-SexualOrientationObservation.html ', old:'https://hl7.org/cda/stds/ccda/draft1/StructureDefinition- 2.16.840.1.113883.10.20.22.4.501' },</v>
      </c>
    </row>
    <row r="211" spans="2:8" x14ac:dyDescent="0.25">
      <c r="B211" t="s">
        <v>2345</v>
      </c>
      <c r="C211" s="2">
        <v>44713</v>
      </c>
      <c r="D211" t="s">
        <v>2565</v>
      </c>
      <c r="E211" t="s">
        <v>2791</v>
      </c>
      <c r="F211" t="str">
        <f t="shared" si="9"/>
        <v xml:space="preserve">https://hl7.org/cda/us/ccda/StructureDefinition-DateOfDiagnosisAct.html </v>
      </c>
      <c r="G211" t="str">
        <f t="shared" si="10"/>
        <v>https://hl7.org/cda/stds/ccda/draft1/StructureDefinition- 2.16.840.1.113883.10.20.22.4.502</v>
      </c>
      <c r="H211" t="str">
        <f t="shared" si="11"/>
        <v>{new:'https://hl7.org/cda/us/ccda/StructureDefinition-DateOfDiagnosisAct.html ', old:'https://hl7.org/cda/stds/ccda/draft1/StructureDefinition- 2.16.840.1.113883.10.20.22.4.502' },</v>
      </c>
    </row>
    <row r="212" spans="2:8" x14ac:dyDescent="0.25">
      <c r="B212" t="s">
        <v>2346</v>
      </c>
      <c r="C212" s="2">
        <v>45047</v>
      </c>
      <c r="D212" t="s">
        <v>2566</v>
      </c>
      <c r="E212" t="s">
        <v>2792</v>
      </c>
      <c r="F212" t="str">
        <f t="shared" si="9"/>
        <v xml:space="preserve">https://hl7.org/cda/us/ccda/StructureDefinition-BasicOccupationObservation.html </v>
      </c>
      <c r="G212" t="str">
        <f t="shared" si="10"/>
        <v>https://hl7.org/cda/stds/ccda/draft1/StructureDefinition- 2.16.840.1.113883.10.20.22.4.503</v>
      </c>
      <c r="H212" t="str">
        <f t="shared" si="11"/>
        <v>{new:'https://hl7.org/cda/us/ccda/StructureDefinition-BasicOccupationObservation.html ', old:'https://hl7.org/cda/stds/ccda/draft1/StructureDefinition- 2.16.840.1.113883.10.20.22.4.503' },</v>
      </c>
    </row>
    <row r="213" spans="2:8" x14ac:dyDescent="0.25">
      <c r="B213" t="s">
        <v>2347</v>
      </c>
      <c r="C213" s="2">
        <v>45047</v>
      </c>
      <c r="D213" t="s">
        <v>2567</v>
      </c>
      <c r="E213" t="s">
        <v>2793</v>
      </c>
      <c r="F213" t="str">
        <f t="shared" si="9"/>
        <v xml:space="preserve">https://hl7.org/cda/us/ccda/StructureDefinition-BasicIndustryObservation.html </v>
      </c>
      <c r="G213" t="str">
        <f t="shared" si="10"/>
        <v>https://hl7.org/cda/stds/ccda/draft1/StructureDefinition- 2.16.840.1.113883.10.20.22.4.504</v>
      </c>
      <c r="H213" t="str">
        <f t="shared" si="11"/>
        <v>{new:'https://hl7.org/cda/us/ccda/StructureDefinition-BasicIndustryObservation.html ', old:'https://hl7.org/cda/stds/ccda/draft1/StructureDefinition- 2.16.840.1.113883.10.20.22.4.504' },</v>
      </c>
    </row>
    <row r="214" spans="2:8" x14ac:dyDescent="0.25">
      <c r="B214" t="s">
        <v>2348</v>
      </c>
      <c r="C214" s="2">
        <v>45047</v>
      </c>
      <c r="D214" t="s">
        <v>2568</v>
      </c>
      <c r="E214" t="s">
        <v>2794</v>
      </c>
      <c r="F214" t="str">
        <f t="shared" si="9"/>
        <v xml:space="preserve">https://hl7.org/cda/us/ccda/StructureDefinition-DisabilityStatusObservation.html </v>
      </c>
      <c r="G214" t="str">
        <f t="shared" si="10"/>
        <v>https://hl7.org/cda/stds/ccda/draft1/StructureDefinition- 2.16.840.1.113883.10.20.22.4.505</v>
      </c>
      <c r="H214" t="str">
        <f t="shared" si="11"/>
        <v>{new:'https://hl7.org/cda/us/ccda/StructureDefinition-DisabilityStatusObservation.html ', old:'https://hl7.org/cda/stds/ccda/draft1/StructureDefinition- 2.16.840.1.113883.10.20.22.4.505' },</v>
      </c>
    </row>
    <row r="215" spans="2:8" x14ac:dyDescent="0.25">
      <c r="B215" t="s">
        <v>2349</v>
      </c>
      <c r="C215" s="2">
        <v>45047</v>
      </c>
      <c r="D215" t="s">
        <v>2569</v>
      </c>
      <c r="E215" t="s">
        <v>2795</v>
      </c>
      <c r="F215" t="str">
        <f t="shared" si="9"/>
        <v xml:space="preserve">https://hl7.org/cda/us/ccda/StructureDefinition-TribalAffiliationObservation.html </v>
      </c>
      <c r="G215" t="str">
        <f t="shared" si="10"/>
        <v>https://hl7.org/cda/stds/ccda/draft1/StructureDefinition- 2.16.840.1.113883.10.20.22.4.506</v>
      </c>
      <c r="H215" t="str">
        <f t="shared" si="11"/>
        <v>{new:'https://hl7.org/cda/us/ccda/StructureDefinition-TribalAffiliationObservation.html ', old:'https://hl7.org/cda/stds/ccda/draft1/StructureDefinition- 2.16.840.1.113883.10.20.22.4.506' },</v>
      </c>
    </row>
    <row r="216" spans="2:8" x14ac:dyDescent="0.25">
      <c r="B216" t="s">
        <v>2350</v>
      </c>
      <c r="C216" s="2">
        <v>45105</v>
      </c>
      <c r="D216" t="s">
        <v>2570</v>
      </c>
      <c r="E216" t="s">
        <v>2796</v>
      </c>
      <c r="F216" t="str">
        <f t="shared" si="9"/>
        <v xml:space="preserve">https://hl7.org/cda/us/ccda/StructureDefinition-SexObservation.html </v>
      </c>
      <c r="G216" t="str">
        <f t="shared" si="10"/>
        <v>https://hl7.org/cda/stds/ccda/draft1/StructureDefinition- 2.16.840.1.113883.10.20.22.4.507</v>
      </c>
      <c r="H216" t="str">
        <f t="shared" si="11"/>
        <v>{new:'https://hl7.org/cda/us/ccda/StructureDefinition-SexObservation.html ', old:'https://hl7.org/cda/stds/ccda/draft1/StructureDefinition- 2.16.840.1.113883.10.20.22.4.507' },</v>
      </c>
    </row>
    <row r="217" spans="2:8" x14ac:dyDescent="0.25">
      <c r="B217" t="s">
        <v>2351</v>
      </c>
      <c r="C217" s="2">
        <v>45047</v>
      </c>
      <c r="D217" t="s">
        <v>2571</v>
      </c>
      <c r="E217" t="s">
        <v>2797</v>
      </c>
      <c r="F217" t="str">
        <f t="shared" si="9"/>
        <v xml:space="preserve">https://hl7.org/cda/us/ccda/StructureDefinition-MedicationAdherence.html </v>
      </c>
      <c r="G217" t="str">
        <f t="shared" si="10"/>
        <v>https://hl7.org/cda/stds/ccda/draft1/StructureDefinition- 2.16.840.1.113883.10.20.22.4.508</v>
      </c>
      <c r="H217" t="str">
        <f t="shared" si="11"/>
        <v>{new:'https://hl7.org/cda/us/ccda/StructureDefinition-MedicationAdherence.html ', old:'https://hl7.org/cda/stds/ccda/draft1/StructureDefinition- 2.16.840.1.113883.10.20.22.4.508' },</v>
      </c>
    </row>
    <row r="218" spans="2:8" x14ac:dyDescent="0.25">
      <c r="B218" t="s">
        <v>2352</v>
      </c>
      <c r="C218" s="2">
        <v>45413</v>
      </c>
      <c r="D218" t="s">
        <v>2572</v>
      </c>
      <c r="E218" t="s">
        <v>2798</v>
      </c>
      <c r="F218" t="str">
        <f t="shared" si="9"/>
        <v xml:space="preserve">https://hl7.org/cda/us/ccda/StructureDefinition-CareExperiencePreference.html </v>
      </c>
      <c r="G218" t="str">
        <f t="shared" si="10"/>
        <v>https://hl7.org/cda/stds/ccda/draft1/StructureDefinition- 2.16.840.1.113883.10.20.22.4.509</v>
      </c>
      <c r="H218" t="str">
        <f t="shared" si="11"/>
        <v>{new:'https://hl7.org/cda/us/ccda/StructureDefinition-CareExperiencePreference.html ', old:'https://hl7.org/cda/stds/ccda/draft1/StructureDefinition- 2.16.840.1.113883.10.20.22.4.509' },</v>
      </c>
    </row>
    <row r="219" spans="2:8" x14ac:dyDescent="0.25">
      <c r="B219" t="s">
        <v>2353</v>
      </c>
      <c r="C219" s="2">
        <v>45413</v>
      </c>
      <c r="D219" t="s">
        <v>2573</v>
      </c>
      <c r="E219" t="s">
        <v>2799</v>
      </c>
      <c r="F219" t="str">
        <f t="shared" si="9"/>
        <v xml:space="preserve">https://hl7.org/cda/us/ccda/StructureDefinition-TreatmentInterventionPreference.html </v>
      </c>
      <c r="G219" t="str">
        <f t="shared" si="10"/>
        <v>https://hl7.org/cda/stds/ccda/draft1/StructureDefinition- 2.16.840.1.113883.10.20.22.4.510</v>
      </c>
      <c r="H219" t="str">
        <f t="shared" si="11"/>
        <v>{new:'https://hl7.org/cda/us/ccda/StructureDefinition-TreatmentInterventionPreference.html ', old:'https://hl7.org/cda/stds/ccda/draft1/StructureDefinition- 2.16.840.1.113883.10.20.22.4.510' },</v>
      </c>
    </row>
    <row r="220" spans="2:8" x14ac:dyDescent="0.25">
      <c r="B220" t="s">
        <v>2354</v>
      </c>
      <c r="C220" s="2">
        <v>45413</v>
      </c>
      <c r="D220" t="s">
        <v>2574</v>
      </c>
      <c r="E220" t="s">
        <v>2800</v>
      </c>
      <c r="F220" t="str">
        <f t="shared" si="9"/>
        <v xml:space="preserve">https://hl7.org/cda/us/ccda/StructureDefinition-SmokingStatus.html </v>
      </c>
      <c r="G220" t="str">
        <f t="shared" si="10"/>
        <v>https://hl7.org/cda/stds/ccda/draft1/StructureDefinition- 2.16.840.1.113883.10.20.22.4.511</v>
      </c>
      <c r="H220" t="str">
        <f t="shared" si="11"/>
        <v>{new:'https://hl7.org/cda/us/ccda/StructureDefinition-SmokingStatus.html ', old:'https://hl7.org/cda/stds/ccda/draft1/StructureDefinition- 2.16.840.1.113883.10.20.22.4.511' },</v>
      </c>
    </row>
    <row r="221" spans="2:8" x14ac:dyDescent="0.25">
      <c r="B221" t="s">
        <v>2355</v>
      </c>
      <c r="C221" s="2">
        <v>45413</v>
      </c>
      <c r="D221" t="s">
        <v>2575</v>
      </c>
      <c r="E221" t="s">
        <v>2801</v>
      </c>
      <c r="F221" t="str">
        <f t="shared" si="9"/>
        <v xml:space="preserve">https://hl7.org/cda/us/ccda/StructureDefinition-AverageBloodPressureOrganizer.html </v>
      </c>
      <c r="G221" t="str">
        <f t="shared" si="10"/>
        <v>https://hl7.org/cda/stds/ccda/draft1/StructureDefinition- 2.16.840.1.113883.10.20.22.4.512</v>
      </c>
      <c r="H221" t="str">
        <f t="shared" si="11"/>
        <v>{new:'https://hl7.org/cda/us/ccda/StructureDefinition-AverageBloodPressureOrganizer.html ', old:'https://hl7.org/cda/stds/ccda/draft1/StructureDefinition- 2.16.840.1.113883.10.20.22.4.512' },</v>
      </c>
    </row>
    <row r="222" spans="2:8" x14ac:dyDescent="0.25">
      <c r="B222" t="s">
        <v>2356</v>
      </c>
      <c r="C222" s="2">
        <v>45778</v>
      </c>
      <c r="D222" t="s">
        <v>2576</v>
      </c>
      <c r="E222" t="s">
        <v>2802</v>
      </c>
      <c r="F222" t="str">
        <f t="shared" si="9"/>
        <v xml:space="preserve">https://hl7.org/cda/us/ccda/StructureDefinition-SexParameterForClinicalUseObservation.html </v>
      </c>
      <c r="G222" t="str">
        <f t="shared" si="10"/>
        <v>https://hl7.org/cda/stds/ccda/draft1/StructureDefinition- 2.16.840.1.113883.10.20.22.4.513</v>
      </c>
      <c r="H222" t="str">
        <f t="shared" si="11"/>
        <v>{new:'https://hl7.org/cda/us/ccda/StructureDefinition-SexParameterForClinicalUseObservation.html ', old:'https://hl7.org/cda/stds/ccda/draft1/StructureDefinition- 2.16.840.1.113883.10.20.22.4.513' },</v>
      </c>
    </row>
    <row r="223" spans="2:8" x14ac:dyDescent="0.25">
      <c r="B223" t="s">
        <v>2357</v>
      </c>
      <c r="C223" s="2">
        <v>45778</v>
      </c>
      <c r="D223" t="s">
        <v>2577</v>
      </c>
      <c r="E223" t="s">
        <v>2803</v>
      </c>
      <c r="F223" t="str">
        <f t="shared" si="9"/>
        <v xml:space="preserve">https://hl7.org/cda/us/ccda/StructureDefinition-InterpreterNeededObservation.html </v>
      </c>
      <c r="G223" t="str">
        <f t="shared" si="10"/>
        <v>https://hl7.org/cda/stds/ccda/draft1/StructureDefinition- 2.16.840.1.113883.10.20.22.4.515</v>
      </c>
      <c r="H223" t="str">
        <f t="shared" si="11"/>
        <v>{new:'https://hl7.org/cda/us/ccda/StructureDefinition-InterpreterNeededObservation.html ', old:'https://hl7.org/cda/stds/ccda/draft1/StructureDefinition- 2.16.840.1.113883.10.20.22.4.515' },</v>
      </c>
    </row>
    <row r="224" spans="2:8" x14ac:dyDescent="0.25">
      <c r="B224" t="s">
        <v>2358</v>
      </c>
      <c r="C224" s="2">
        <v>45778</v>
      </c>
      <c r="D224" t="s">
        <v>2578</v>
      </c>
      <c r="E224" t="s">
        <v>2804</v>
      </c>
      <c r="F224" t="str">
        <f t="shared" si="9"/>
        <v xml:space="preserve">https://hl7.org/cda/us/ccda/StructureDefinition-AgeRangeObservation.html </v>
      </c>
      <c r="G224" t="str">
        <f t="shared" si="10"/>
        <v>https://hl7.org/cda/stds/ccda/draft1/StructureDefinition- 2.16.840.1.113883.10.20.22.4.516</v>
      </c>
      <c r="H224" t="str">
        <f t="shared" si="11"/>
        <v>{new:'https://hl7.org/cda/us/ccda/StructureDefinition-AgeRangeObservation.html ', old:'https://hl7.org/cda/stds/ccda/draft1/StructureDefinition- 2.16.840.1.113883.10.20.22.4.516' },</v>
      </c>
    </row>
    <row r="225" spans="1:8" x14ac:dyDescent="0.25">
      <c r="B225" t="s">
        <v>2359</v>
      </c>
      <c r="C225" s="2">
        <v>46143</v>
      </c>
      <c r="D225" t="s">
        <v>2579</v>
      </c>
      <c r="E225" t="s">
        <v>2805</v>
      </c>
      <c r="F225" t="str">
        <f t="shared" si="9"/>
        <v xml:space="preserve">https://hl7.org/cda/us/ccda/StructureDefinition-CarePlanAct.html </v>
      </c>
      <c r="G225" t="str">
        <f t="shared" si="10"/>
        <v>https://hl7.org/cda/stds/ccda/draft1/StructureDefinition- 2.16.840.1.113883.10.20.22.4.518</v>
      </c>
      <c r="H225" t="str">
        <f t="shared" si="11"/>
        <v>{new:'https://hl7.org/cda/us/ccda/StructureDefinition-CarePlanAct.html ', old:'https://hl7.org/cda/stds/ccda/draft1/StructureDefinition- 2.16.840.1.113883.10.20.22.4.518' },</v>
      </c>
    </row>
    <row r="226" spans="1:8" x14ac:dyDescent="0.25">
      <c r="B226" t="s">
        <v>2360</v>
      </c>
      <c r="C226" s="2">
        <v>45047</v>
      </c>
      <c r="D226" t="s">
        <v>2580</v>
      </c>
      <c r="E226" t="s">
        <v>2806</v>
      </c>
      <c r="F226" t="str">
        <f t="shared" si="9"/>
        <v xml:space="preserve">https://hl7.org/cda/us/ccda/StructureDefinition-Reason.html </v>
      </c>
      <c r="G226" t="str">
        <f t="shared" si="10"/>
        <v>https://hl7.org/cda/stds/ccda/draft1/StructureDefinition- 2.16.840.1.113883.10.20.24.3.88</v>
      </c>
      <c r="H226" t="str">
        <f t="shared" si="11"/>
        <v>{new:'https://hl7.org/cda/us/ccda/StructureDefinition-Reason.html ', old:'https://hl7.org/cda/stds/ccda/draft1/StructureDefinition- 2.16.840.1.113883.10.20.24.3.88' },</v>
      </c>
    </row>
    <row r="227" spans="1:8" x14ac:dyDescent="0.25">
      <c r="B227" t="s">
        <v>2361</v>
      </c>
      <c r="C227" s="2">
        <v>41799</v>
      </c>
      <c r="D227" t="s">
        <v>2581</v>
      </c>
      <c r="E227" t="s">
        <v>2807</v>
      </c>
      <c r="F227" t="str">
        <f t="shared" si="9"/>
        <v xml:space="preserve">https://hl7.org/cda/us/ccda/StructureDefinition-SubstanceOrDeviceAllergyIntoleranceObservation.html </v>
      </c>
      <c r="G227" t="str">
        <f t="shared" si="10"/>
        <v>https://hl7.org/cda/stds/ccda/draft1/StructureDefinition- 2.16.840.1.113883.10.20.24.3.90</v>
      </c>
      <c r="H227" t="str">
        <f t="shared" si="11"/>
        <v>{new:'https://hl7.org/cda/us/ccda/StructureDefinition-SubstanceOrDeviceAllergyIntoleranceObservation.html ', old:'https://hl7.org/cda/stds/ccda/draft1/StructureDefinition- 2.16.840.1.113883.10.20.24.3.90' },</v>
      </c>
    </row>
    <row r="228" spans="1:8" x14ac:dyDescent="0.25">
      <c r="B228" t="s">
        <v>2362</v>
      </c>
      <c r="C228" s="2">
        <v>45047</v>
      </c>
      <c r="D228" t="s">
        <v>2582</v>
      </c>
      <c r="E228" t="s">
        <v>2808</v>
      </c>
      <c r="F228" t="str">
        <f t="shared" si="9"/>
        <v xml:space="preserve">https://hl7.org/cda/us/ccda/StructureDefinition-GenderIdentityObservation.html </v>
      </c>
      <c r="G228" t="str">
        <f t="shared" si="10"/>
        <v>https://hl7.org/cda/stds/ccda/draft1/StructureDefinition- 2.16.840.1.113883.10.20.34.3.45</v>
      </c>
      <c r="H228" t="str">
        <f t="shared" si="11"/>
        <v>{new:'https://hl7.org/cda/us/ccda/StructureDefinition-GenderIdentityObservation.html ', old:'https://hl7.org/cda/stds/ccda/draft1/StructureDefinition- 2.16.840.1.113883.10.20.34.3.45' },</v>
      </c>
    </row>
    <row r="229" spans="1:8" x14ac:dyDescent="0.25">
      <c r="A229" t="s">
        <v>2133</v>
      </c>
      <c r="H229" t="str">
        <f t="shared" si="11"/>
        <v>{new:'', old:'' },</v>
      </c>
    </row>
    <row r="230" spans="1:8" x14ac:dyDescent="0.25">
      <c r="H230" t="str">
        <f t="shared" si="11"/>
        <v>{new:'', old:'' },</v>
      </c>
    </row>
    <row r="231" spans="1:8" x14ac:dyDescent="0.25">
      <c r="B231" t="s">
        <v>2135</v>
      </c>
      <c r="D231" t="s">
        <v>2136</v>
      </c>
      <c r="H231" t="str">
        <f t="shared" si="11"/>
        <v>{new:'', old:'' },</v>
      </c>
    </row>
    <row r="232" spans="1:8" x14ac:dyDescent="0.25">
      <c r="B232" t="s">
        <v>2137</v>
      </c>
      <c r="D232" t="s">
        <v>2138</v>
      </c>
      <c r="H232" t="str">
        <f t="shared" si="11"/>
        <v>{new:'', old:'' },</v>
      </c>
    </row>
    <row r="233" spans="1:8" x14ac:dyDescent="0.25">
      <c r="B233" t="s">
        <v>2204</v>
      </c>
      <c r="D233" t="s">
        <v>2583</v>
      </c>
      <c r="E233" t="s">
        <v>2809</v>
      </c>
      <c r="F233" t="str">
        <f t="shared" si="9"/>
        <v xml:space="preserve">https://hl7.org/cda/us/ccda/StructureDefinition-AuthorParticipation.html </v>
      </c>
      <c r="G233" t="str">
        <f t="shared" si="10"/>
        <v xml:space="preserve">https://hl7.org/cda/stds/ccda/draft1/StructureDefinition- 2.16.840.1.113883.10.20.22.4.119 </v>
      </c>
      <c r="H233" t="str">
        <f t="shared" si="11"/>
        <v>{new:'https://hl7.org/cda/us/ccda/StructureDefinition-AuthorParticipation.html ', old:'https://hl7.org/cda/stds/ccda/draft1/StructureDefinition- 2.16.840.1.113883.10.20.22.4.119 ' },</v>
      </c>
    </row>
    <row r="234" spans="1:8" x14ac:dyDescent="0.25">
      <c r="B234" t="s">
        <v>2205</v>
      </c>
      <c r="D234" t="s">
        <v>2584</v>
      </c>
      <c r="E234" t="s">
        <v>2810</v>
      </c>
      <c r="F234" t="str">
        <f t="shared" si="9"/>
        <v xml:space="preserve">https://hl7.org/cda/us/ccda/StructureDefinition-USRealmPatientNamePTNUSFIELDED.html </v>
      </c>
      <c r="G234" t="str">
        <f t="shared" si="10"/>
        <v xml:space="preserve">https://hl7.org/cda/stds/ccda/draft1/StructureDefinition- 2.16.840.1.113883.10.20.22.5.1 </v>
      </c>
      <c r="H234" t="str">
        <f t="shared" si="11"/>
        <v>{new:'https://hl7.org/cda/us/ccda/StructureDefinition-USRealmPatientNamePTNUSFIELDED.html ', old:'https://hl7.org/cda/stds/ccda/draft1/StructureDefinition- 2.16.840.1.113883.10.20.22.5.1 ' },</v>
      </c>
    </row>
    <row r="235" spans="1:8" x14ac:dyDescent="0.25">
      <c r="B235" t="s">
        <v>2206</v>
      </c>
      <c r="D235" t="s">
        <v>2585</v>
      </c>
      <c r="E235" t="s">
        <v>2811</v>
      </c>
      <c r="F235" t="str">
        <f t="shared" si="9"/>
        <v xml:space="preserve">https://hl7.org/cda/us/ccda/StructureDefinition-USRealmPersonNamePNUSFIELDED.html </v>
      </c>
      <c r="G235" t="str">
        <f t="shared" si="10"/>
        <v xml:space="preserve">https://hl7.org/cda/stds/ccda/draft1/StructureDefinition- 2.16.840.1.113883.10.20.22.5.1.1 </v>
      </c>
      <c r="H235" t="str">
        <f t="shared" si="11"/>
        <v>{new:'https://hl7.org/cda/us/ccda/StructureDefinition-USRealmPersonNamePNUSFIELDED.html ', old:'https://hl7.org/cda/stds/ccda/draft1/StructureDefinition- 2.16.840.1.113883.10.20.22.5.1.1 ' },</v>
      </c>
    </row>
    <row r="236" spans="1:8" x14ac:dyDescent="0.25">
      <c r="B236" t="s">
        <v>2207</v>
      </c>
      <c r="D236" t="s">
        <v>2586</v>
      </c>
      <c r="E236" t="s">
        <v>2812</v>
      </c>
      <c r="F236" t="str">
        <f t="shared" si="9"/>
        <v xml:space="preserve">https://hl7.org/cda/us/ccda/StructureDefinition-USRealmAddress.html </v>
      </c>
      <c r="G236" t="str">
        <f t="shared" si="10"/>
        <v xml:space="preserve">https://hl7.org/cda/stds/ccda/draft1/StructureDefinition- 2.16.840.1.113883.10.20.22.5.2 </v>
      </c>
      <c r="H236" t="str">
        <f t="shared" si="11"/>
        <v>{new:'https://hl7.org/cda/us/ccda/StructureDefinition-USRealmAddress.html ', old:'https://hl7.org/cda/stds/ccda/draft1/StructureDefinition- 2.16.840.1.113883.10.20.22.5.2 ' },</v>
      </c>
    </row>
    <row r="237" spans="1:8" x14ac:dyDescent="0.25">
      <c r="B237" t="s">
        <v>2208</v>
      </c>
      <c r="D237" t="s">
        <v>2587</v>
      </c>
      <c r="E237" t="s">
        <v>2813</v>
      </c>
      <c r="F237" t="str">
        <f t="shared" si="9"/>
        <v xml:space="preserve">https://hl7.org/cda/us/ccda/StructureDefinition-USRealmDateTimeInterval.html </v>
      </c>
      <c r="G237" t="str">
        <f t="shared" si="10"/>
        <v xml:space="preserve">https://hl7.org/cda/stds/ccda/draft1/StructureDefinition- 2.16.840.1.113883.10.20.22.5.3 </v>
      </c>
      <c r="H237" t="str">
        <f t="shared" si="11"/>
        <v>{new:'https://hl7.org/cda/us/ccda/StructureDefinition-USRealmDateTimeInterval.html ', old:'https://hl7.org/cda/stds/ccda/draft1/StructureDefinition- 2.16.840.1.113883.10.20.22.5.3 ' },</v>
      </c>
    </row>
    <row r="238" spans="1:8" x14ac:dyDescent="0.25">
      <c r="B238" t="s">
        <v>2209</v>
      </c>
      <c r="D238" t="s">
        <v>2588</v>
      </c>
      <c r="E238" t="s">
        <v>2814</v>
      </c>
      <c r="F238" t="str">
        <f t="shared" si="9"/>
        <v xml:space="preserve">https://hl7.org/cda/us/ccda/StructureDefinition-USRealmDateTime.html </v>
      </c>
      <c r="G238" t="str">
        <f t="shared" si="10"/>
        <v xml:space="preserve">https://hl7.org/cda/stds/ccda/draft1/StructureDefinition- 2.16.840.1.113883.10.20.22.5.4 </v>
      </c>
      <c r="H238" t="str">
        <f t="shared" si="11"/>
        <v>{new:'https://hl7.org/cda/us/ccda/StructureDefinition-USRealmDateTime.html ', old:'https://hl7.org/cda/stds/ccda/draft1/StructureDefinition- 2.16.840.1.113883.10.20.22.5.4 ' },</v>
      </c>
    </row>
    <row r="239" spans="1:8" x14ac:dyDescent="0.25">
      <c r="B239" t="s">
        <v>2363</v>
      </c>
      <c r="C239" s="2">
        <v>43739</v>
      </c>
      <c r="D239" t="s">
        <v>2589</v>
      </c>
      <c r="E239" t="s">
        <v>2815</v>
      </c>
      <c r="F239" t="str">
        <f t="shared" si="9"/>
        <v xml:space="preserve">https://hl7.org/cda/us/ccda/StructureDefinition-ProvenanceAuthorParticipation.html </v>
      </c>
      <c r="G239" t="str">
        <f t="shared" si="10"/>
        <v>https://hl7.org/cda/stds/ccda/draft1/StructureDefinition- 2.16.840.1.113883.10.20.22.5.6</v>
      </c>
      <c r="H239" t="str">
        <f t="shared" si="11"/>
        <v>{new:'https://hl7.org/cda/us/ccda/StructureDefinition-ProvenanceAuthorParticipation.html ', old:'https://hl7.org/cda/stds/ccda/draft1/StructureDefinition- 2.16.840.1.113883.10.20.22.5.6' },</v>
      </c>
    </row>
    <row r="240" spans="1:8" x14ac:dyDescent="0.25">
      <c r="B240" t="s">
        <v>2364</v>
      </c>
      <c r="C240" s="2">
        <v>43970</v>
      </c>
      <c r="D240" t="s">
        <v>2590</v>
      </c>
      <c r="E240" t="s">
        <v>2816</v>
      </c>
      <c r="F240" t="str">
        <f t="shared" si="9"/>
        <v xml:space="preserve">https://hl7.org/cda/us/ccda/StructureDefinition-ProvenanceAssemblerParticipation.html </v>
      </c>
      <c r="G240" t="str">
        <f t="shared" si="10"/>
        <v>https://hl7.org/cda/stds/ccda/draft1/StructureDefinition- 2.16.840.1.113883.10.20.22.5.7</v>
      </c>
      <c r="H240" t="str">
        <f t="shared" si="11"/>
        <v>{new:'https://hl7.org/cda/us/ccda/StructureDefinition-ProvenanceAssemblerParticipation.html ', old:'https://hl7.org/cda/stds/ccda/draft1/StructureDefinition- 2.16.840.1.113883.10.20.22.5.7' },</v>
      </c>
    </row>
    <row r="241" spans="1:8" x14ac:dyDescent="0.25">
      <c r="B241" t="s">
        <v>2365</v>
      </c>
      <c r="C241" s="2">
        <v>45047</v>
      </c>
      <c r="D241" t="s">
        <v>2591</v>
      </c>
      <c r="E241" t="s">
        <v>2817</v>
      </c>
      <c r="F241" t="str">
        <f t="shared" si="9"/>
        <v xml:space="preserve">https://hl7.org/cda/us/ccda/StructureDefinition-RelatedPersonRelationshipAndNameParticipant.html </v>
      </c>
      <c r="G241" t="str">
        <f t="shared" si="10"/>
        <v>https://hl7.org/cda/stds/ccda/draft1/StructureDefinition- 2.16.840.1.113883.10.20.22.5.8</v>
      </c>
      <c r="H241" t="str">
        <f t="shared" si="11"/>
        <v>{new:'https://hl7.org/cda/us/ccda/StructureDefinition-RelatedPersonRelationshipAndNameParticipant.html ', old:'https://hl7.org/cda/stds/ccda/draft1/StructureDefinition- 2.16.840.1.113883.10.20.22.5.8' },</v>
      </c>
    </row>
    <row r="242" spans="1:8" x14ac:dyDescent="0.25">
      <c r="A242" t="s">
        <v>2134</v>
      </c>
      <c r="H242" t="str">
        <f t="shared" si="11"/>
        <v>{new:'', old:'' },</v>
      </c>
    </row>
    <row r="243" spans="1:8" x14ac:dyDescent="0.25">
      <c r="H243" t="str">
        <f t="shared" si="11"/>
        <v>{new:'', old:'' },</v>
      </c>
    </row>
    <row r="244" spans="1:8" x14ac:dyDescent="0.25">
      <c r="B244" t="s">
        <v>2135</v>
      </c>
      <c r="D244" t="s">
        <v>2136</v>
      </c>
      <c r="H244" t="str">
        <f t="shared" si="11"/>
        <v>{new:'', old:'' },</v>
      </c>
    </row>
    <row r="245" spans="1:8" x14ac:dyDescent="0.25">
      <c r="B245" t="s">
        <v>2137</v>
      </c>
      <c r="D245" t="s">
        <v>2138</v>
      </c>
      <c r="H245" t="str">
        <f t="shared" si="11"/>
        <v>{new:'', old:'' },</v>
      </c>
    </row>
    <row r="246" spans="1:8" x14ac:dyDescent="0.25">
      <c r="B246" t="s">
        <v>2366</v>
      </c>
      <c r="C246" s="2">
        <v>41799</v>
      </c>
      <c r="D246" t="s">
        <v>2592</v>
      </c>
      <c r="E246" t="s">
        <v>2818</v>
      </c>
      <c r="F246" t="str">
        <f t="shared" si="9"/>
        <v xml:space="preserve">https://hl7.org/cda/us/ccda/StructureDefinition-InstructionActivity.html </v>
      </c>
      <c r="G246" t="str">
        <f t="shared" si="10"/>
        <v>https://hl7.org/cda/stds/ccda/draft1/StructureDefinition- 2.16.840.1.113883.10.20.22.4.20</v>
      </c>
      <c r="H246" t="str">
        <f t="shared" si="11"/>
        <v>{new:'https://hl7.org/cda/us/ccda/StructureDefinition-InstructionActivity.html ', old:'https://hl7.org/cda/stds/ccda/draft1/StructureDefinition- 2.16.840.1.113883.10.20.22.4.20' },</v>
      </c>
    </row>
    <row r="247" spans="1:8" x14ac:dyDescent="0.25">
      <c r="B247" t="s">
        <v>2367</v>
      </c>
      <c r="C247" s="2">
        <v>45413</v>
      </c>
      <c r="D247" t="s">
        <v>2593</v>
      </c>
      <c r="E247" t="s">
        <v>2819</v>
      </c>
      <c r="F247" t="str">
        <f t="shared" si="9"/>
        <v xml:space="preserve">https://hl7.org/cda/us/ccda/StructureDefinition-SmokingStatusMeaningfulUse.html </v>
      </c>
      <c r="G247" t="str">
        <f t="shared" si="10"/>
        <v>https://hl7.org/cda/stds/ccda/draft1/StructureDefinition- 2.16.840.1.113883.10.20.22.4.78</v>
      </c>
      <c r="H247" t="str">
        <f t="shared" si="11"/>
        <v>{new:'https://hl7.org/cda/us/ccda/StructureDefinition-SmokingStatusMeaningfulUse.html ', old:'https://hl7.org/cda/stds/ccda/draft1/StructureDefinition- 2.16.840.1.113883.10.20.22.4.78' },</v>
      </c>
    </row>
    <row r="248" spans="1:8" x14ac:dyDescent="0.25">
      <c r="B248" t="s">
        <v>2368</v>
      </c>
      <c r="C248" s="2">
        <v>41799</v>
      </c>
      <c r="D248" t="s">
        <v>2594</v>
      </c>
      <c r="E248" t="s">
        <v>2820</v>
      </c>
      <c r="F248" t="str">
        <f t="shared" si="9"/>
        <v xml:space="preserve">https://hl7.org/cda/us/ccda/StructureDefinition-TobaccoUse.html </v>
      </c>
      <c r="G248" t="str">
        <f t="shared" si="10"/>
        <v>https://hl7.org/cda/stds/ccda/draft1/StructureDefinition- 2.16.840.1.113883.10.20.22.4.85</v>
      </c>
      <c r="H248" t="str">
        <f t="shared" si="11"/>
        <v>{new:'https://hl7.org/cda/us/ccda/StructureDefinition-TobaccoUse.html ', old:'https://hl7.org/cda/stds/ccda/draft1/StructureDefinition- 2.16.840.1.113883.10.20.22.4.85' },</v>
      </c>
    </row>
    <row r="249" spans="1:8" x14ac:dyDescent="0.25">
      <c r="B249" t="s">
        <v>2369</v>
      </c>
      <c r="C249" s="2">
        <v>44606</v>
      </c>
      <c r="D249" t="s">
        <v>2595</v>
      </c>
      <c r="E249" t="s">
        <v>2821</v>
      </c>
      <c r="F249" t="str">
        <f t="shared" si="9"/>
        <v xml:space="preserve">https://hl7.org/cda/us/ccda/StructureDefinition-AdvanceDirectiveOrganizer.html </v>
      </c>
      <c r="G249" t="str">
        <f t="shared" si="10"/>
        <v>https://hl7.org/cda/stds/ccda/draft1/StructureDefinition- 2.16.840.1.113883.10.20.22.4.108</v>
      </c>
      <c r="H249" t="str">
        <f t="shared" si="11"/>
        <v>{new:'https://hl7.org/cda/us/ccda/StructureDefinition-AdvanceDirectiveOrganizer.html ', old:'https://hl7.org/cda/stds/ccda/draft1/StructureDefinition- 2.16.840.1.113883.10.20.22.4.108' },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example</vt:lpstr>
      <vt:lpstr>New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DAmore</dc:creator>
  <cp:lastModifiedBy>John DAmore</cp:lastModifiedBy>
  <dcterms:created xsi:type="dcterms:W3CDTF">2015-06-05T18:17:20Z</dcterms:created>
  <dcterms:modified xsi:type="dcterms:W3CDTF">2026-02-13T00:14:02Z</dcterms:modified>
</cp:coreProperties>
</file>